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luisriveradelissalde/Library/CloudStorage/Dropbox/THE PROFIT GROUP/OTROS PROYECTOS/UNIVERSIDAD ANAHUAC/MAESTRÍA/"/>
    </mc:Choice>
  </mc:AlternateContent>
  <xr:revisionPtr revIDLastSave="0" documentId="13_ncr:1_{8D076CBD-4C50-4041-A9F8-EE053A6722CD}" xr6:coauthVersionLast="47" xr6:coauthVersionMax="47" xr10:uidLastSave="{00000000-0000-0000-0000-000000000000}"/>
  <bookViews>
    <workbookView xWindow="0" yWindow="680" windowWidth="29040" windowHeight="16960" tabRatio="500" xr2:uid="{00000000-000D-0000-FFFF-FFFF00000000}"/>
  </bookViews>
  <sheets>
    <sheet name="&gt;&gt;&gt;&gt;&gt;&gt;" sheetId="1" r:id="rId1"/>
    <sheet name="Presupuesto Anual" sheetId="2" r:id="rId2"/>
    <sheet name="Costeo" sheetId="3" r:id="rId3"/>
    <sheet name="Gastos" sheetId="4" r:id="rId4"/>
    <sheet name="Pricing" sheetId="5" r:id="rId5"/>
    <sheet name="Gráficas" sheetId="6" state="hidden" r:id="rId6"/>
    <sheet name="Crédito Bancario" sheetId="7" r:id="rId7"/>
    <sheet name="RENTABILIDAD DE LA INVERSION" sheetId="8" r:id="rId8"/>
    <sheet name="Costo de Capital" sheetId="9" r:id="rId9"/>
    <sheet name="SUPUESTOS" sheetId="10" r:id="rId10"/>
  </sheets>
  <definedNames>
    <definedName name="____________________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fas123" hidden="1">{"Balance Sheet",#N/A,FALSE,"Annual Summary";"Cashflows",#N/A,FALSE,"Annual Summary";"Summary Earnings",#N/A,FALSE,"Annual Summary"}</definedName>
    <definedName name="_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_TN01" hidden="1">{"All Departments Cost Model Summary",#N/A,FALSE,"Ttl Prjct Cost";"Prm Mgnt CM",#N/A,FALSE,"Prg Mgt";"Govt Rltns CM",#N/A,FALSE,"Govt Rltns";"HR CM",#N/A,FALSE,"HR";"B&amp;A CM",#N/A,FALSE,"B&amp;A";"Prjt Cntl CM",#N/A,FALSE,"Prjct Cntrls";"Cntct CM",#N/A,FALSE,"Cntrct";"QA CM",#N/A,FALSE,"QA";"IT CM",#N/A,FALSE,"IT";"DC CM",#N/A,FALSE,"DC";"PMM CM",#N/A,FALSE,"PMM";"HSE CM",#N/A,FALSE,"HSE";"Eng'g CM",#N/A,FALSE,"Eng'g";"Cnstrctn CM",#N/A,FALSE,"Cnstrctn";"Comm'g CM",#N/A,FALSE,"Comm'g"}</definedName>
    <definedName name="____________top15" hidden="1">{#N/A,#N/A,TRUE,"Funnel";#N/A,#N/A,TRUE,"FunnelMatrix"}</definedName>
    <definedName name="____________x1" hidden="1">{#N/A,#N/A,FALSE,"SGP";#N/A,#N/A,FALSE,"SGI";#N/A,#N/A,FALSE,"SGC";#N/A,#N/A,FALSE,"SGS";#N/A,#N/A,FALSE,"SGB"}</definedName>
    <definedName name="____________x2" hidden="1">{#N/A,#N/A,FALSE,"SGP";#N/A,#N/A,FALSE,"SGI";#N/A,#N/A,FALSE,"SGC";#N/A,#N/A,FALSE,"SGS";#N/A,#N/A,FALSE,"SGB"}</definedName>
    <definedName name="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x1" hidden="1">{#N/A,#N/A,FALSE,"SGP";#N/A,#N/A,FALSE,"SGI";#N/A,#N/A,FALSE,"SGC";#N/A,#N/A,FALSE,"SGS";#N/A,#N/A,FALSE,"SGB"}</definedName>
    <definedName name="___________x2" hidden="1">{#N/A,#N/A,FALSE,"SGP";#N/A,#N/A,FALSE,"SGI";#N/A,#N/A,FALSE,"SGC";#N/A,#N/A,FALSE,"SGS";#N/A,#N/A,FALSE,"SGB"}</definedName>
    <definedName name="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x1" hidden="1">{#N/A,#N/A,FALSE,"SGP";#N/A,#N/A,FALSE,"SGI";#N/A,#N/A,FALSE,"SGC";#N/A,#N/A,FALSE,"SGS";#N/A,#N/A,FALSE,"SGB"}</definedName>
    <definedName name="_________x2" hidden="1">{#N/A,#N/A,FALSE,"SGP";#N/A,#N/A,FALSE,"SGI";#N/A,#N/A,FALSE,"SGC";#N/A,#N/A,FALSE,"SGS";#N/A,#N/A,FALSE,"SGB"}</definedName>
    <definedName name="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x1" hidden="1">{#N/A,#N/A,FALSE,"SGP";#N/A,#N/A,FALSE,"SGI";#N/A,#N/A,FALSE,"SGC";#N/A,#N/A,FALSE,"SGS";#N/A,#N/A,FALSE,"SGB"}</definedName>
    <definedName name="________x2" hidden="1">{#N/A,#N/A,FALSE,"SGP";#N/A,#N/A,FALSE,"SGI";#N/A,#N/A,FALSE,"SGC";#N/A,#N/A,FALSE,"SGS";#N/A,#N/A,FALSE,"SGB"}</definedName>
    <definedName name="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x1" hidden="1">{#N/A,#N/A,FALSE,"SGP";#N/A,#N/A,FALSE,"SGI";#N/A,#N/A,FALSE,"SGC";#N/A,#N/A,FALSE,"SGS";#N/A,#N/A,FALSE,"SGB"}</definedName>
    <definedName name="_______x2" hidden="1">{#N/A,#N/A,FALSE,"SGP";#N/A,#N/A,FALSE,"SGI";#N/A,#N/A,FALSE,"SGC";#N/A,#N/A,FALSE,"SGS";#N/A,#N/A,FALSE,"SGB"}</definedName>
    <definedName name="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x1" hidden="1">{#N/A,#N/A,FALSE,"SGP";#N/A,#N/A,FALSE,"SGI";#N/A,#N/A,FALSE,"SGC";#N/A,#N/A,FALSE,"SGS";#N/A,#N/A,FALSE,"SGB"}</definedName>
    <definedName name="______x2" hidden="1">{#N/A,#N/A,FALSE,"SGP";#N/A,#N/A,FALSE,"SGI";#N/A,#N/A,FALSE,"SGC";#N/A,#N/A,FALSE,"SGS";#N/A,#N/A,FALSE,"SGB"}</definedName>
    <definedName name="_____fas123" hidden="1">{"Balance Sheet",#N/A,FALSE,"Annual Summary";"Cashflows",#N/A,FALSE,"Annual Summary";"Summary Earnings",#N/A,FALSE,"Annual Summary"}</definedName>
    <definedName name="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shares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TN01" hidden="1">{"All Departments Cost Model Summary",#N/A,FALSE,"Ttl Prjct Cost";"Prm Mgnt CM",#N/A,FALSE,"Prg Mgt";"Govt Rltns CM",#N/A,FALSE,"Govt Rltns";"HR CM",#N/A,FALSE,"HR";"B&amp;A CM",#N/A,FALSE,"B&amp;A";"Prjt Cntl CM",#N/A,FALSE,"Prjct Cntrls";"Cntct CM",#N/A,FALSE,"Cntrct";"QA CM",#N/A,FALSE,"QA";"IT CM",#N/A,FALSE,"IT";"DC CM",#N/A,FALSE,"DC";"PMM CM",#N/A,FALSE,"PMM";"HSE CM",#N/A,FALSE,"HSE";"Eng'g CM",#N/A,FALSE,"Eng'g";"Cnstrctn CM",#N/A,FALSE,"Cnstrctn";"Comm'g CM",#N/A,FALSE,"Comm'g"}</definedName>
    <definedName name="_____top15" hidden="1">{#N/A,#N/A,TRUE,"Funnel";#N/A,#N/A,TRUE,"FunnelMatrix"}</definedName>
    <definedName name="____fas123" hidden="1">{"Balance Sheet",#N/A,FALSE,"Annual Summary";"Cashflows",#N/A,FALSE,"Annual Summary";"Summary Earnings",#N/A,FALSE,"Annual Summary"}</definedName>
    <definedName name="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TN01" hidden="1">{"All Departments Cost Model Summary",#N/A,FALSE,"Ttl Prjct Cost";"Prm Mgnt CM",#N/A,FALSE,"Prg Mgt";"Govt Rltns CM",#N/A,FALSE,"Govt Rltns";"HR CM",#N/A,FALSE,"HR";"B&amp;A CM",#N/A,FALSE,"B&amp;A";"Prjt Cntl CM",#N/A,FALSE,"Prjct Cntrls";"Cntct CM",#N/A,FALSE,"Cntrct";"QA CM",#N/A,FALSE,"QA";"IT CM",#N/A,FALSE,"IT";"DC CM",#N/A,FALSE,"DC";"PMM CM",#N/A,FALSE,"PMM";"HSE CM",#N/A,FALSE,"HSE";"Eng'g CM",#N/A,FALSE,"Eng'g";"Cnstrctn CM",#N/A,FALSE,"Cnstrctn";"Comm'g CM",#N/A,FALSE,"Comm'g"}</definedName>
    <definedName name="____top15" hidden="1">{#N/A,#N/A,TRUE,"Funnel";#N/A,#N/A,TRUE,"FunnelMatrix"}</definedName>
    <definedName name="____x1" hidden="1">{#N/A,#N/A,FALSE,"SGP";#N/A,#N/A,FALSE,"SGI";#N/A,#N/A,FALSE,"SGC";#N/A,#N/A,FALSE,"SGS";#N/A,#N/A,FALSE,"SGB"}</definedName>
    <definedName name="____x2" hidden="1">{#N/A,#N/A,FALSE,"SGP";#N/A,#N/A,FALSE,"SGI";#N/A,#N/A,FALSE,"SGC";#N/A,#N/A,FALSE,"SGS";#N/A,#N/A,FALSE,"SGB"}</definedName>
    <definedName name="___bnm1" hidden="1">{"Full Sheet",#N/A,FALSE,"MATL";"Full Sheet",#N/A,FALSE,"LAB";"Full Sheet",#N/A,FALSE,"EXP";"Full Sheet",#N/A,FALSE,"QUAL";"Full Sheet",#N/A,FALSE,"DEL";"Full Sheet",#N/A,FALSE,"STK"}</definedName>
    <definedName name="___bvn1" hidden="1">{"Full Sheet",#N/A,FALSE,"MATL";"Full Sheet",#N/A,FALSE,"LAB";"Full Sheet",#N/A,FALSE,"EXP";"Full Sheet",#N/A,FALSE,"QUAL";"Full Sheet",#N/A,FALSE,"DEL";"Full Sheet",#N/A,FALSE,"STK"}</definedName>
    <definedName name="___bvn2" hidden="1">{"Full Sheet",#N/A,FALSE,"MATL";"Full Sheet",#N/A,FALSE,"LAB";"Full Sheet",#N/A,FALSE,"EXP";"Full Sheet",#N/A,FALSE,"QUAL";"Full Sheet",#N/A,FALSE,"DEL";"Full Sheet",#N/A,FALSE,"STK"}</definedName>
    <definedName name="___cbn1" hidden="1">{"Full Sheet",#N/A,FALSE,"MATL";"Full Sheet",#N/A,FALSE,"LAB";"Full Sheet",#N/A,FALSE,"EXP";"Full Sheet",#N/A,FALSE,"QUAL";"Full Sheet",#N/A,FALSE,"DEL";"Full Sheet",#N/A,FALSE,"STK"}</definedName>
    <definedName name="___cbv1" hidden="1">{"Chart",#N/A,FALSE,"MATL";"Chart",#N/A,FALSE,"LAB";"Chart",#N/A,FALSE,"EXP";"Chart",#N/A,FALSE,"QUAL";"Chart",#N/A,FALSE,"DEL";"Chart",#N/A,FALSE,"STK";"Chart",#N/A,FALSE,"hr";"Chart",#N/A,FALSE,"lead"}</definedName>
    <definedName name="___cvb2" hidden="1">{"Chart",#N/A,FALSE,"MATL";"Chart",#N/A,FALSE,"LAB";"Chart",#N/A,FALSE,"EXP";"Chart",#N/A,FALSE,"QUAL";"Chart",#N/A,FALSE,"DEL";"Chart",#N/A,FALSE,"STK";"Chart",#N/A,FALSE,"hr";"Chart",#N/A,FALSE,"lead"}</definedName>
    <definedName name="___ddd1" hidden="1">{"Full Sheet",#N/A,FALSE,"MATL";"Full Sheet",#N/A,FALSE,"LAB";"Full Sheet",#N/A,FALSE,"EXP";"Full Sheet",#N/A,FALSE,"QUAL";"Full Sheet",#N/A,FALSE,"DEL";"Full Sheet",#N/A,FALSE,"STK"}</definedName>
    <definedName name="___mm2" hidden="1">{"Detailed",#N/A,FALSE,"Schedule4"}</definedName>
    <definedName name="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123Graph_A" hidden="1">#REF!</definedName>
    <definedName name="__123Graph_AWA9303" hidden="1">#REF!</definedName>
    <definedName name="__123Graph_AWA9304" hidden="1">#REF!</definedName>
    <definedName name="__123Graph_AWA9507" hidden="1">#REF!</definedName>
    <definedName name="__123Graph_AWG9508" hidden="1">#REF!</definedName>
    <definedName name="__123Graph_BWA9303" hidden="1">#REF!</definedName>
    <definedName name="__123Graph_BWA9304" hidden="1">#REF!</definedName>
    <definedName name="__123Graph_BWA9507" hidden="1">#REF!</definedName>
    <definedName name="__123Graph_BWG9508" hidden="1">#REF!</definedName>
    <definedName name="__123Graph_CSCREENSZ" hidden="1">#REF!</definedName>
    <definedName name="__123Graph_CWA9303" hidden="1">#REF!</definedName>
    <definedName name="__123Graph_CWA9304" hidden="1">#REF!</definedName>
    <definedName name="__123Graph_CWA9507" hidden="1">#REF!</definedName>
    <definedName name="__123Graph_CWG9508" hidden="1">#REF!</definedName>
    <definedName name="__123Graph_DWA9303" hidden="1">#REF!</definedName>
    <definedName name="__123Graph_DWA9304" hidden="1">#REF!</definedName>
    <definedName name="__123Graph_DWA9507" hidden="1">#REF!</definedName>
    <definedName name="__123Graph_DWG9508" hidden="1">#REF!</definedName>
    <definedName name="__123Graph_EWA9303" hidden="1">#REF!</definedName>
    <definedName name="__123Graph_EWA9304" hidden="1">#REF!</definedName>
    <definedName name="__123Graph_X" hidden="1">#REF!</definedName>
    <definedName name="__123Graph_XWA9303" hidden="1">#REF!</definedName>
    <definedName name="__123Graph_XWA9304" hidden="1">#REF!</definedName>
    <definedName name="__123Graph_XWA9507" hidden="1">#REF!</definedName>
    <definedName name="__123Graph_XWG9508" hidden="1">#REF!</definedName>
    <definedName name="__bnm1" hidden="1">{"Full Sheet",#N/A,FALSE,"MATL";"Full Sheet",#N/A,FALSE,"LAB";"Full Sheet",#N/A,FALSE,"EXP";"Full Sheet",#N/A,FALSE,"QUAL";"Full Sheet",#N/A,FALSE,"DEL";"Full Sheet",#N/A,FALSE,"STK"}</definedName>
    <definedName name="__bvn1" hidden="1">{"Full Sheet",#N/A,FALSE,"MATL";"Full Sheet",#N/A,FALSE,"LAB";"Full Sheet",#N/A,FALSE,"EXP";"Full Sheet",#N/A,FALSE,"QUAL";"Full Sheet",#N/A,FALSE,"DEL";"Full Sheet",#N/A,FALSE,"STK"}</definedName>
    <definedName name="__bvn2" hidden="1">{"Full Sheet",#N/A,FALSE,"MATL";"Full Sheet",#N/A,FALSE,"LAB";"Full Sheet",#N/A,FALSE,"EXP";"Full Sheet",#N/A,FALSE,"QUAL";"Full Sheet",#N/A,FALSE,"DEL";"Full Sheet",#N/A,FALSE,"STK"}</definedName>
    <definedName name="__cbn1" hidden="1">{"Full Sheet",#N/A,FALSE,"MATL";"Full Sheet",#N/A,FALSE,"LAB";"Full Sheet",#N/A,FALSE,"EXP";"Full Sheet",#N/A,FALSE,"QUAL";"Full Sheet",#N/A,FALSE,"DEL";"Full Sheet",#N/A,FALSE,"STK"}</definedName>
    <definedName name="__cbv1" hidden="1">{"Chart",#N/A,FALSE,"MATL";"Chart",#N/A,FALSE,"LAB";"Chart",#N/A,FALSE,"EXP";"Chart",#N/A,FALSE,"QUAL";"Chart",#N/A,FALSE,"DEL";"Chart",#N/A,FALSE,"STK";"Chart",#N/A,FALSE,"hr";"Chart",#N/A,FALSE,"lead"}</definedName>
    <definedName name="__cvb2" hidden="1">{"Chart",#N/A,FALSE,"MATL";"Chart",#N/A,FALSE,"LAB";"Chart",#N/A,FALSE,"EXP";"Chart",#N/A,FALSE,"QUAL";"Chart",#N/A,FALSE,"DEL";"Chart",#N/A,FALSE,"STK";"Chart",#N/A,FALSE,"hr";"Chart",#N/A,FALSE,"lead"}</definedName>
    <definedName name="__ddd1" hidden="1">{"Full Sheet",#N/A,FALSE,"MATL";"Full Sheet",#N/A,FALSE,"LAB";"Full Sheet",#N/A,FALSE,"EXP";"Full Sheet",#N/A,FALSE,"QUAL";"Full Sheet",#N/A,FALSE,"DEL";"Full Sheet",#N/A,FALSE,"STK"}</definedName>
    <definedName name="__fas123" hidden="1">{"Balance Sheet",#N/A,FALSE,"Annual Summary";"Cashflows",#N/A,FALSE,"Annual Summary";"Summary Earnings",#N/A,FALSE,"Annual Summary"}</definedName>
    <definedName name="__FDS_HYPERLINK_TOGGLE_STATE__" hidden="1">"ON"</definedName>
    <definedName name="__mm2" hidden="1">{"Detailed",#N/A,FALSE,"Schedule4"}</definedName>
    <definedName name="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TN01" hidden="1">{"All Departments Cost Model Summary",#N/A,FALSE,"Ttl Prjct Cost";"Prm Mgnt CM",#N/A,FALSE,"Prg Mgt";"Govt Rltns CM",#N/A,FALSE,"Govt Rltns";"HR CM",#N/A,FALSE,"HR";"B&amp;A CM",#N/A,FALSE,"B&amp;A";"Prjt Cntl CM",#N/A,FALSE,"Prjct Cntrls";"Cntct CM",#N/A,FALSE,"Cntrct";"QA CM",#N/A,FALSE,"QA";"IT CM",#N/A,FALSE,"IT";"DC CM",#N/A,FALSE,"DC";"PMM CM",#N/A,FALSE,"PMM";"HSE CM",#N/A,FALSE,"HSE";"Eng'g CM",#N/A,FALSE,"Eng'g";"Cnstrctn CM",#N/A,FALSE,"Cnstrctn";"Comm'g CM",#N/A,FALSE,"Comm'g"}</definedName>
    <definedName name="__top15" hidden="1">{#N/A,#N/A,TRUE,"Funnel";#N/A,#N/A,TRUE,"FunnelMatrix"}</definedName>
    <definedName name="__x1" hidden="1">{#N/A,#N/A,FALSE,"SGP";#N/A,#N/A,FALSE,"SGI";#N/A,#N/A,FALSE,"SGC";#N/A,#N/A,FALSE,"SGS";#N/A,#N/A,FALSE,"SGB"}</definedName>
    <definedName name="__x2" hidden="1">{#N/A,#N/A,FALSE,"SGP";#N/A,#N/A,FALSE,"SGI";#N/A,#N/A,FALSE,"SGC";#N/A,#N/A,FALSE,"SGS";#N/A,#N/A,FALSE,"SGB"}</definedName>
    <definedName name="_1__123Graph_ACHART_1" hidden="1">#REF!</definedName>
    <definedName name="_1__ƒ0ACwvu.Sommai" hidden="1">#REF!,#REF!,#REF!,#REF!,#REF!,#REF!</definedName>
    <definedName name="_1__xlnm._FilterDatabase" hidden="1">#REF!</definedName>
    <definedName name="_10__123Graph_BCHART_16" hidden="1">#REF!</definedName>
    <definedName name="_10__123Graph_BCHART_3" hidden="1">#REF!</definedName>
    <definedName name="_10__123Graph_DCHART_1" hidden="1">#REF!</definedName>
    <definedName name="_10__123Graph_LBL_ACHART_1" hidden="1">#REF!</definedName>
    <definedName name="_11__123Graph_ACHART_1" hidden="1">#REF!</definedName>
    <definedName name="_11__123Graph_BCHART_1" hidden="1">#REF!</definedName>
    <definedName name="_11__123Graph_BCHART_17" hidden="1">#REF!</definedName>
    <definedName name="_11__123Graph_LBL_ACHART_3" hidden="1">#REF!</definedName>
    <definedName name="_12__123Graph_BCHART_18" hidden="1">#REF!</definedName>
    <definedName name="_12__123Graph_BCHART_3" hidden="1">#REF!</definedName>
    <definedName name="_12__123Graph_LBL_ACHART_1" hidden="1">#REF!</definedName>
    <definedName name="_13__123Graph_BCHART_31" hidden="1">#REF!</definedName>
    <definedName name="_13__123Graph_LBL_DCHART_1" hidden="1">#REF!</definedName>
    <definedName name="_14__123Graph_ACHART_3" hidden="1">#REF!</definedName>
    <definedName name="_14__123Graph_BCHART_7" hidden="1">#REF!</definedName>
    <definedName name="_14__123Graph_DCHART_1" hidden="1">#REF!</definedName>
    <definedName name="_14__123Graph_LBL_ACHART_3" hidden="1">#REF!</definedName>
    <definedName name="_15__123Graph_Bｸﾞﾗﾌ_2" hidden="1">#REF!</definedName>
    <definedName name="_15__123Graph_DCHART_1" hidden="1">#REF!</definedName>
    <definedName name="_16__123Graph_CCHART_1" hidden="1">#REF!</definedName>
    <definedName name="_16__123Graph_LBL_DCHART_1" hidden="1">#REF!</definedName>
    <definedName name="_17__123Graph_BCHART_1" hidden="1">#REF!</definedName>
    <definedName name="_17__123Graph_CCHART_16" hidden="1">#REF!</definedName>
    <definedName name="_17__123Graph_DCHART_1" hidden="1">#REF!</definedName>
    <definedName name="_18__123Graph_BCHART_3" hidden="1">#REF!</definedName>
    <definedName name="_18__123Graph_CCHART_17" hidden="1">#REF!</definedName>
    <definedName name="_18__123Graph_LBL_ACHART_1" hidden="1">#REF!</definedName>
    <definedName name="_19__123Graph_CCHART_18" hidden="1">#REF!</definedName>
    <definedName name="_19__123Graph_LBL_ACHART_3" hidden="1">#REF!</definedName>
    <definedName name="_1summ">#REF!</definedName>
    <definedName name="_2__123Graph_ACHART_1" hidden="1">#REF!</definedName>
    <definedName name="_2__123Graph_ACHART_3" hidden="1">#REF!</definedName>
    <definedName name="_2__123Graph_BCHART_1" hidden="1">#REF!</definedName>
    <definedName name="_2__ƒ0Swvu.Sommai" hidden="1">#REF!,#REF!,#REF!,#REF!,#REF!,#REF!</definedName>
    <definedName name="_20__123Graph_CCHART_31" hidden="1">#REF!</definedName>
    <definedName name="_21__123Graph_Cｸﾞﾗﾌ_2" hidden="1">#REF!</definedName>
    <definedName name="_21__123Graph_LBL_ACHART_3" hidden="1">#REF!</definedName>
    <definedName name="_22__123Graph_DCHART_16" hidden="1">#REF!</definedName>
    <definedName name="_22__123Graph_LBL_ACHART_1" hidden="1">#REF!</definedName>
    <definedName name="_23__123Graph_DCHART_18" hidden="1">#REF!</definedName>
    <definedName name="_23__123Graph_LBL_ACHART_3" hidden="1">#REF!</definedName>
    <definedName name="_23__123Graph_LBL_DCHART_1" hidden="1">#REF!</definedName>
    <definedName name="_24__123Graph_DCHART_31" hidden="1">#REF!</definedName>
    <definedName name="_24__123Graph_LBL_DCHART_1" hidden="1">#REF!</definedName>
    <definedName name="_25__123Graph_BCHART_1" hidden="1">#REF!</definedName>
    <definedName name="_25__123Graph_Dｸﾞﾗﾌ_2" hidden="1">#REF!</definedName>
    <definedName name="_26__123Graph_DCHART_1" hidden="1">#REF!</definedName>
    <definedName name="_26__123Graph_ECHART_16" hidden="1">#REF!</definedName>
    <definedName name="_27__123Graph_Eｸﾞﾗﾌ_2" hidden="1">#REF!</definedName>
    <definedName name="_28__123Graph_BCHART_3" hidden="1">#REF!</definedName>
    <definedName name="_28__123Graph_Fｸﾞﾗﾌ_2" hidden="1">#REF!</definedName>
    <definedName name="_28__123Graph_LBL_DCHART_1" hidden="1">#REF!</definedName>
    <definedName name="_29__123Graph_XCHART_15" hidden="1">#REF!</definedName>
    <definedName name="_2ƒ0ACwvu.Sommai" hidden="1">#REF!,#REF!,#REF!,#REF!,#REF!,#REF!</definedName>
    <definedName name="_2summ">#REF!</definedName>
    <definedName name="_3__123Graph_ACHART_1" hidden="1">#REF!</definedName>
    <definedName name="_3__123Graph_ACHART_10" hidden="1">#REF!</definedName>
    <definedName name="_3__123Graph_ACHART_3" hidden="1">#REF!</definedName>
    <definedName name="_3__123Graph_BCHART_1" hidden="1">#REF!</definedName>
    <definedName name="_3__123Graph_CCHART_1" hidden="1">#REF!</definedName>
    <definedName name="_3__p0Rwvu.Sommai" hidden="1">#REF!,#REF!,#REF!,#REF!,#REF!</definedName>
    <definedName name="_30__123Graph_XCHART_17" hidden="1">#REF!</definedName>
    <definedName name="_31__123Graph_XCHART_18" hidden="1">#REF!</definedName>
    <definedName name="_32__123Graph_XCHART_31" hidden="1">#REF!</definedName>
    <definedName name="_34__123Graph_LBL_ACHART_1" hidden="1">#REF!</definedName>
    <definedName name="_35__123Graph_LBL_ACHART_3" hidden="1">#REF!</definedName>
    <definedName name="_39__123Graph_DCHART_1" hidden="1">#REF!</definedName>
    <definedName name="_3detail">#REF!</definedName>
    <definedName name="_3ƒ0ACwvu.Sommai" hidden="1">#REF!,#REF!,#REF!,#REF!,#REF!,#REF!</definedName>
    <definedName name="_3ƒ0Swvu.Sommai" hidden="1">#REF!,#REF!,#REF!,#REF!,#REF!,#REF!</definedName>
    <definedName name="_4__123Graph_ACHART_1" hidden="1">#REF!</definedName>
    <definedName name="_4__123Graph_ACHART_18" hidden="1">#REF!</definedName>
    <definedName name="_4__123Graph_ACHART_3" hidden="1">#REF!</definedName>
    <definedName name="_4__123Graph_BCHART_3" hidden="1">#REF!</definedName>
    <definedName name="_43__123Graph_LBL_DCHART_1" hidden="1">#REF!</definedName>
    <definedName name="_4p0Rwvu.Sommai" hidden="1">#REF!,#REF!,#REF!,#REF!,#REF!</definedName>
    <definedName name="_5__123Graph_ACHART_1" hidden="1">#REF!</definedName>
    <definedName name="_5__123Graph_ACHART_3" hidden="1">#REF!</definedName>
    <definedName name="_5__123Graph_ACHART_31" hidden="1">#REF!</definedName>
    <definedName name="_5__123Graph_BCHART_1" hidden="1">#REF!</definedName>
    <definedName name="_5__123Graph_DCHART_1" hidden="1">#REF!</definedName>
    <definedName name="_50__123Graph_LBL_ACHART_1" hidden="1">#REF!</definedName>
    <definedName name="_53__123Graph_LBL_ACHART_3" hidden="1">#REF!</definedName>
    <definedName name="_5ƒ0ACwvu.Sommai" hidden="1">#REF!,#REF!,#REF!,#REF!,#REF!,#REF!</definedName>
    <definedName name="_5ƒ0Swvu.Sommai" hidden="1">#REF!,#REF!,#REF!,#REF!,#REF!,#REF!</definedName>
    <definedName name="_6__123Graph_ACHART_3" hidden="1">#REF!</definedName>
    <definedName name="_6__123Graph_ACHART_7" hidden="1">#REF!</definedName>
    <definedName name="_6__123Graph_BCHART_1" hidden="1">#REF!</definedName>
    <definedName name="_6__123Graph_BCHART_3" hidden="1">#REF!</definedName>
    <definedName name="_6__123Graph_LBL_ACHART_1" hidden="1">#REF!</definedName>
    <definedName name="_64__123Graph_LBL_DCHART_1" hidden="1">#REF!</definedName>
    <definedName name="_6ƒ0Swvu.Sommai" hidden="1">#REF!,#REF!,#REF!,#REF!,#REF!,#REF!</definedName>
    <definedName name="_7__123Graph_ACHART_9" hidden="1">#REF!</definedName>
    <definedName name="_7__123Graph_LBL_ACHART_3" hidden="1">#REF!</definedName>
    <definedName name="_7p0Rwvu.Sommai" hidden="1">#REF!,#REF!,#REF!,#REF!,#REF!</definedName>
    <definedName name="_8__123Graph_ACHART_1" hidden="1">#REF!</definedName>
    <definedName name="_8__123Graph_Aｸﾞﾗﾌ_2" hidden="1">#REF!</definedName>
    <definedName name="_8__123Graph_BCHART_3" hidden="1">#REF!</definedName>
    <definedName name="_8__123Graph_DCHART_1" hidden="1">#REF!</definedName>
    <definedName name="_8__123Graph_LBL_DCHART_1" hidden="1">#REF!</definedName>
    <definedName name="_9__123Graph_ACHART_3" hidden="1">#REF!</definedName>
    <definedName name="_9__123Graph_BCHART_1" hidden="1">#REF!</definedName>
    <definedName name="_92HEADCOUNT">#REF!</definedName>
    <definedName name="_93HEADCOUNT">#REF!</definedName>
    <definedName name="_abc1" hidden="1">{"review",#N/A,FALSE,"FACTSHT"}</definedName>
    <definedName name="_bdm.83471B83923C446E9E69379F5FD95B16.edm" hidden="1">#REF!</definedName>
    <definedName name="_bdm.99669D738A234317A72B03CB3CE7C55E.edm" hidden="1">#REF!</definedName>
    <definedName name="_BIO1" hidden="1">{"toc1",#N/A,FALSE,"TOC";"cover",#N/A,FALSE,"Cover";"ts1",#N/A,FALSE,"Transaction Summary";"ei3",#N/A,FALSE,"Earnings Impact";"ad3",#N/A,FALSE,"accretion dilution"}</definedName>
    <definedName name="_bnm1" hidden="1">{"Full Sheet",#N/A,FALSE,"MATL";"Full Sheet",#N/A,FALSE,"LAB";"Full Sheet",#N/A,FALSE,"EXP";"Full Sheet",#N/A,FALSE,"QUAL";"Full Sheet",#N/A,FALSE,"DEL";"Full Sheet",#N/A,FALSE,"STK"}</definedName>
    <definedName name="_bvn1" hidden="1">{"Full Sheet",#N/A,FALSE,"MATL";"Full Sheet",#N/A,FALSE,"LAB";"Full Sheet",#N/A,FALSE,"EXP";"Full Sheet",#N/A,FALSE,"QUAL";"Full Sheet",#N/A,FALSE,"DEL";"Full Sheet",#N/A,FALSE,"STK"}</definedName>
    <definedName name="_bvn2" hidden="1">{"Full Sheet",#N/A,FALSE,"MATL";"Full Sheet",#N/A,FALSE,"LAB";"Full Sheet",#N/A,FALSE,"EXP";"Full Sheet",#N/A,FALSE,"QUAL";"Full Sheet",#N/A,FALSE,"DEL";"Full Sheet",#N/A,FALSE,"STK"}</definedName>
    <definedName name="_cbn1" hidden="1">{"Full Sheet",#N/A,FALSE,"MATL";"Full Sheet",#N/A,FALSE,"LAB";"Full Sheet",#N/A,FALSE,"EXP";"Full Sheet",#N/A,FALSE,"QUAL";"Full Sheet",#N/A,FALSE,"DEL";"Full Sheet",#N/A,FALSE,"STK"}</definedName>
    <definedName name="_cbv1" hidden="1">{"Chart",#N/A,FALSE,"MATL";"Chart",#N/A,FALSE,"LAB";"Chart",#N/A,FALSE,"EXP";"Chart",#N/A,FALSE,"QUAL";"Chart",#N/A,FALSE,"DEL";"Chart",#N/A,FALSE,"STK";"Chart",#N/A,FALSE,"hr";"Chart",#N/A,FALSE,"lead"}</definedName>
    <definedName name="_cvb2" hidden="1">{"Chart",#N/A,FALSE,"MATL";"Chart",#N/A,FALSE,"LAB";"Chart",#N/A,FALSE,"EXP";"Chart",#N/A,FALSE,"QUAL";"Chart",#N/A,FALSE,"DEL";"Chart",#N/A,FALSE,"STK";"Chart",#N/A,FALSE,"hr";"Chart",#N/A,FALSE,"lead"}</definedName>
    <definedName name="_ddd1" hidden="1">{"Full Sheet",#N/A,FALSE,"MATL";"Full Sheet",#N/A,FALSE,"LAB";"Full Sheet",#N/A,FALSE,"EXP";"Full Sheet",#N/A,FALSE,"QUAL";"Full Sheet",#N/A,FALSE,"DEL";"Full Sheet",#N/A,FALSE,"STK"}</definedName>
    <definedName name="_Dist_Values" hidden="1">#REF!</definedName>
    <definedName name="_end" hidden="1">#REF!</definedName>
    <definedName name="_f" hidden="1">{#N/A,#N/A,FALSE,"FIESTA";#N/A,#N/A,FALSE,"FESTIVA";#N/A,#N/A,FALSE,"MAZDA";#N/A,#N/A,FALSE,"F_SERIES";#N/A,#N/A,FALSE,"EXPLORER 97";#N/A,#N/A,FALSE,"3M6, 3M8, CM8";#N/A,#N/A,FALSE,"F7000 F8000"}</definedName>
    <definedName name="_fas123" hidden="1">{"Balance Sheet",#N/A,FALSE,"Annual Summary";"Cashflows",#N/A,FALSE,"Annual Summary";"Summary Earnings",#N/A,FALSE,"Annual Summary"}</definedName>
    <definedName name="_ISR06" localSheetId="8" hidden="1">{#N/A,#N/A,TRUE,"HOJA 1 (P)";#N/A,#N/A,TRUE,"HOJA 2 (P)";#N/A,#N/A,TRUE,"HOJA 3 (P)";#N/A,#N/A,TRUE,"HOJA 4 (P)"}</definedName>
    <definedName name="_ISR06" localSheetId="6" hidden="1">{#N/A,#N/A,TRUE,"HOJA 1 (P)";#N/A,#N/A,TRUE,"HOJA 2 (P)";#N/A,#N/A,TRUE,"HOJA 3 (P)";#N/A,#N/A,TRUE,"HOJA 4 (P)"}</definedName>
    <definedName name="_ISR06" localSheetId="7" hidden="1">{#N/A,#N/A,TRUE,"HOJA 1 (P)";#N/A,#N/A,TRUE,"HOJA 2 (P)";#N/A,#N/A,TRUE,"HOJA 3 (P)";#N/A,#N/A,TRUE,"HOJA 4 (P)"}</definedName>
    <definedName name="_ISR06" hidden="1">{#N/A,#N/A,TRUE,"HOJA 1 (P)";#N/A,#N/A,TRUE,"HOJA 2 (P)";#N/A,#N/A,TRUE,"HOJA 3 (P)";#N/A,#N/A,TRUE,"HOJA 4 (P)"}</definedName>
    <definedName name="_Key1" hidden="1">#REF!</definedName>
    <definedName name="_Key2" hidden="1">#REF!</definedName>
    <definedName name="_mm2" hidden="1">{"Detailed",#N/A,FALSE,"Schedule4"}</definedName>
    <definedName name="_new1" hidden="1">{"review",#N/A,FALSE,"FACTSHT"}</definedName>
    <definedName name="_new10" hidden="1">{"review",#N/A,FALSE,"FACTSHT"}</definedName>
    <definedName name="_new145" hidden="1">{"review",#N/A,FALSE,"FACTSHT"}</definedName>
    <definedName name="_new2" hidden="1">{"review",#N/A,FALSE,"FACTSHT"}</definedName>
    <definedName name="_new3" hidden="1">{"review",#N/A,FALSE,"FACTSHT"}</definedName>
    <definedName name="_new4" hidden="1">{"review",#N/A,FALSE,"FACTSHT"}</definedName>
    <definedName name="_new5" hidden="1">{"review",#N/A,FALSE,"FACTSHT"}</definedName>
    <definedName name="_new6" hidden="1">{"review",#N/A,FALSE,"FACTSHT"}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 hidden="1">255</definedName>
    <definedName name="_Order2" hidden="1">255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hare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N01" hidden="1">{"All Departments Cost Model Summary",#N/A,FALSE,"Ttl Prjct Cost";"Prm Mgnt CM",#N/A,FALSE,"Prg Mgt";"Govt Rltns CM",#N/A,FALSE,"Govt Rltns";"HR CM",#N/A,FALSE,"HR";"B&amp;A CM",#N/A,FALSE,"B&amp;A";"Prjt Cntl CM",#N/A,FALSE,"Prjct Cntrls";"Cntct CM",#N/A,FALSE,"Cntrct";"QA CM",#N/A,FALSE,"QA";"IT CM",#N/A,FALSE,"IT";"DC CM",#N/A,FALSE,"DC";"PMM CM",#N/A,FALSE,"PMM";"HSE CM",#N/A,FALSE,"HSE";"Eng'g CM",#N/A,FALSE,"Eng'g";"Cnstrctn CM",#N/A,FALSE,"Cnstrctn";"Comm'g CM",#N/A,FALSE,"Comm'g"}</definedName>
    <definedName name="_top15" hidden="1">{#N/A,#N/A,TRUE,"Funnel";#N/A,#N/A,TRUE,"FunnelMatrix"}</definedName>
    <definedName name="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x1" hidden="1">{#N/A,#N/A,FALSE,"SGP";#N/A,#N/A,FALSE,"SGI";#N/A,#N/A,FALSE,"SGC";#N/A,#N/A,FALSE,"SGS";#N/A,#N/A,FALSE,"SGB"}</definedName>
    <definedName name="_x2" hidden="1">{#N/A,#N/A,FALSE,"SGP";#N/A,#N/A,FALSE,"SGI";#N/A,#N/A,FALSE,"SGC";#N/A,#N/A,FALSE,"SGS";#N/A,#N/A,FALSE,"SGB"}</definedName>
    <definedName name="_X20" hidden="1">{#N/A,#N/A,FALSE,"SGP";#N/A,#N/A,FALSE,"SGI";#N/A,#N/A,FALSE,"SGC";#N/A,#N/A,FALSE,"SGS";#N/A,#N/A,FALSE,"SGB"}</definedName>
    <definedName name="_X21" hidden="1">{#N/A,#N/A,FALSE,"SGP";#N/A,#N/A,FALSE,"SGI";#N/A,#N/A,FALSE,"SGC";#N/A,#N/A,FALSE,"SGS";#N/A,#N/A,FALSE,"SGB"}</definedName>
    <definedName name="\P">#REF!</definedName>
    <definedName name="a">#REF!</definedName>
    <definedName name="aa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acat" hidden="1">{"works expense",#N/A,FALSE,"WORKS EXPENSE"}</definedName>
    <definedName name="abacate" hidden="1">{"works expense",#N/A,FALSE,"WORKS EXPENSE"}</definedName>
    <definedName name="abacate1" hidden="1">{"works expense",#N/A,FALSE,"WORKS EXPENSE"}</definedName>
    <definedName name="abacate2" hidden="1">{"works expense",#N/A,FALSE,"WORKS EXPENSE"}</definedName>
    <definedName name="abc" hidden="1">{"review",#N/A,FALSE,"FACTSHT"}</definedName>
    <definedName name="abcd" hidden="1">{"review",#N/A,FALSE,"FACTSHT"}</definedName>
    <definedName name="abcs" hidden="1">{"review",#N/A,FALSE,"FACTSHT"}</definedName>
    <definedName name="ABRACADABRA" hidden="1">#REF!</definedName>
    <definedName name="ac" hidden="1">#REF!</definedName>
    <definedName name="Access_Button" hidden="1">"CONSOL_SIM_List"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"G:\account\96CONSOL\CONSOL.mdb"</definedName>
    <definedName name="acquisitions">#REF!</definedName>
    <definedName name="ActFijosMex" localSheetId="8" hidden="1">{"ConsL",#N/A,FALSE,"Balance Sheet (Lenders)";"ALL",#N/A,FALSE,"Balance Sheet (Lenders)";"CPTL",#N/A,FALSE,"Balance Sheet (Lenders)"}</definedName>
    <definedName name="ActFijosMex" localSheetId="6" hidden="1">{"ConsL",#N/A,FALSE,"Balance Sheet (Lenders)";"ALL",#N/A,FALSE,"Balance Sheet (Lenders)";"CPTL",#N/A,FALSE,"Balance Sheet (Lenders)"}</definedName>
    <definedName name="ActFijosMex" localSheetId="7" hidden="1">{"ConsL",#N/A,FALSE,"Balance Sheet (Lenders)";"ALL",#N/A,FALSE,"Balance Sheet (Lenders)";"CPTL",#N/A,FALSE,"Balance Sheet (Lenders)"}</definedName>
    <definedName name="ActFijosMex" hidden="1">{"ConsL",#N/A,FALSE,"Balance Sheet (Lenders)";"ALL",#N/A,FALSE,"Balance Sheet (Lenders)";"CPTL",#N/A,FALSE,"Balance Sheet (Lenders)"}</definedName>
    <definedName name="ACwvu.Détails." hidden="1">#REF!</definedName>
    <definedName name="ACwvu.Sommaire." hidden="1">#REF!,#REF!,#REF!,#REF!,#REF!,#REF!</definedName>
    <definedName name="ad" hidden="1">#REF!</definedName>
    <definedName name="ADAD" localSheetId="8" hidden="1">{#N/A,#N/A,TRUE,"HOJA 1 (P)";#N/A,#N/A,TRUE,"HOJA 2 (P)";#N/A,#N/A,TRUE,"HOJA 3 (P)";#N/A,#N/A,TRUE,"HOJA 4 (P)"}</definedName>
    <definedName name="ADAD" localSheetId="6" hidden="1">{#N/A,#N/A,TRUE,"HOJA 1 (P)";#N/A,#N/A,TRUE,"HOJA 2 (P)";#N/A,#N/A,TRUE,"HOJA 3 (P)";#N/A,#N/A,TRUE,"HOJA 4 (P)"}</definedName>
    <definedName name="ADAD" localSheetId="7" hidden="1">{#N/A,#N/A,TRUE,"HOJA 1 (P)";#N/A,#N/A,TRUE,"HOJA 2 (P)";#N/A,#N/A,TRUE,"HOJA 3 (P)";#N/A,#N/A,TRUE,"HOJA 4 (P)"}</definedName>
    <definedName name="ADAD" hidden="1">{#N/A,#N/A,TRUE,"HOJA 1 (P)";#N/A,#N/A,TRUE,"HOJA 2 (P)";#N/A,#N/A,TRUE,"HOJA 3 (P)";#N/A,#N/A,TRUE,"HOJA 4 (P)"}</definedName>
    <definedName name="ADAPTA">#REF!</definedName>
    <definedName name="addg" hidden="1">{#N/A,#N/A,FALSE,"CBE";#N/A,#N/A,FALSE,"SWK"}</definedName>
    <definedName name="aDfa" hidden="1">{#N/A,#N/A,FALSE,"Aging Summary";#N/A,#N/A,FALSE,"Ratio Analysis";#N/A,#N/A,FALSE,"Test 120 Day Accts";#N/A,#N/A,FALSE,"Tickmarks"}</definedName>
    <definedName name="adfdsf" hidden="1">{"profit statement",#N/A,FALSE,"P&amp;L STATEMENT"}</definedName>
    <definedName name="ae" hidden="1">#REF!</definedName>
    <definedName name="aefaesfeas" hidden="1">{"works expense",#N/A,FALSE,"WORKS EXPENSE"}</definedName>
    <definedName name="af" hidden="1">{#N/A,#N/A,TRUE,"Cover  Page";#N/A,#N/A,TRUE,"DAILY  RATE";#N/A,#N/A,TRUE,"Comprod";#N/A,#N/A,TRUE,"Monthly Prod ´01";#N/A,#N/A,TRUE,"Calendar Year  2001";#N/A,#N/A,TRUE,"Monthly Rate ´01";#N/A,#N/A,TRUE,"VENEZUELA";#N/A,#N/A,TRUE,"COLOMBIA";#N/A,#N/A,TRUE,"ECUADOR"}</definedName>
    <definedName name="afadsf" hidden="1">{"works expense",#N/A,FALSE,"WORKS EXPENSE"}</definedName>
    <definedName name="afasdf" hidden="1">{"works expense",#N/A,FALSE,"WORKS EXPENSE"}</definedName>
    <definedName name="afdsafasdf" hidden="1">{"capital",#N/A,FALSE,"CAPITAL_DEP'N"}</definedName>
    <definedName name="ag" hidden="1">{#N/A,#N/A,TRUE,"Cover  Page";#N/A,#N/A,TRUE,"PRODCAL";#N/A,#N/A,TRUE,"BUDGET";#N/A,#N/A,TRUE,"PRODMOD";#N/A,#N/A,TRUE,"JPD";#N/A,#N/A,TRUE,"DAILY  RATE";#N/A,#N/A,TRUE,"Comprod";#N/A,#N/A,TRUE,"Monthly Rate ´99";#N/A,#N/A,TRUE,"Monthly Prod ´99";#N/A,#N/A,TRUE,"PROG. BY MOD. YEAR";#N/A,#N/A,TRUE,"VENEZUELA";#N/A,#N/A,TRUE,"COLOMBIA";#N/A,#N/A,TRUE,"ECUADOR";#N/A,#N/A,TRUE,"Calendar Year  1999"}</definedName>
    <definedName name="ah" hidden="1">{#N/A,#N/A,TRUE,"MEMO";#N/A,#N/A,TRUE,"COMMITMENT";#N/A,#N/A,TRUE,"PRODCAL";#N/A,#N/A,TRUE,"BUDGET";#N/A,#N/A,TRUE,"PRODMOD";#N/A,#N/A,TRUE,"JPD";#N/A,#N/A,TRUE,"DAILY  RATE";#N/A,#N/A,TRUE,"Comprod";#N/A,#N/A,TRUE,"Monthly Rate ´98";#N/A,#N/A,TRUE,"Monthly Prod ´98";#N/A,#N/A,TRUE,"PROG. BY MOD. YEAR";#N/A,#N/A,TRUE,"VENEZUELA";#N/A,#N/A,TRUE,"COLOMBIA";#N/A,#N/A,TRUE,"ECUADOR";#N/A,#N/A,TRUE,"Calendar Year  1998"}</definedName>
    <definedName name="ai" hidden="1">{#N/A,#N/A,TRUE,"Cover  Page";#N/A,#N/A,TRUE,"DAILY  RATE";#N/A,#N/A,TRUE,"Comprod";#N/A,#N/A,TRUE,"Monthly Prod ´99";#N/A,#N/A,TRUE,"Monthly Rate ´99";#N/A,#N/A,TRUE,"ENDDIA99";#N/A,#N/A,TRUE,"Calendar Year  1999"}</definedName>
    <definedName name="allo" hidden="1">{"Detailed",#N/A,FALSE,"Schedule4"}</definedName>
    <definedName name="am" hidden="1">#REF!</definedName>
    <definedName name="AMAZON" hidden="1">{#N/A,#N/A,TRUE,"Cover  Page";#N/A,#N/A,TRUE,"DAILY  RATE";#N/A,#N/A,TRUE,"Comprod";#N/A,#N/A,TRUE,"Monthly Rate ´98";#N/A,#N/A,TRUE,"Monthly Prod ´98";#N/A,#N/A,TRUE,"ENDDIA98";#N/A,#N/A,TRUE,"Calendar Year  1998";#N/A,#N/A,TRUE,"VENEZUELA";#N/A,#N/A,TRUE,"COLOMBIA";#N/A,#N/A,TRUE,"ECUADOR"}</definedName>
    <definedName name="amsa" hidden="1">{"Full Sheet",#N/A,FALSE,"MATL";"Full Sheet",#N/A,FALSE,"LAB";"Full Sheet",#N/A,FALSE,"EXP";"Full Sheet",#N/A,FALSE,"QUAL";"Full Sheet",#N/A,FALSE,"DEL";"Full Sheet",#N/A,FALSE,"STK"}</definedName>
    <definedName name="anscount" hidden="1">1</definedName>
    <definedName name="ap" hidden="1">{"'0103'!$A$455:$O$585"}</definedName>
    <definedName name="APag_sheet0" hidden="1">"'Hoja2'
0
"</definedName>
    <definedName name="APag_sheets" hidden="1">1</definedName>
    <definedName name="arfwer" hidden="1">{#N/A,#N/A,TRUE,"Pro Forma";#N/A,#N/A,TRUE,"PF_Bal";#N/A,#N/A,TRUE,"PF_INC";#N/A,#N/A,TRUE,"CBE";#N/A,#N/A,TRUE,"SWK"}</definedName>
    <definedName name="as" hidden="1">{"comp1",#N/A,FALSE,"COMPS";"footnotes",#N/A,FALSE,"COMPS"}</definedName>
    <definedName name="AS2NamedRange" hidden="1">39</definedName>
    <definedName name="AS2ReportLS" hidden="1">1</definedName>
    <definedName name="AS2StaticLS" hidden="1">#REF!</definedName>
    <definedName name="AS2SyncStepLS" hidden="1">0</definedName>
    <definedName name="AS2TickmarkLS" localSheetId="6" hidden="1">#REF!</definedName>
    <definedName name="AS2TickmarkLS" hidden="1">#REF!</definedName>
    <definedName name="AS2VersionLS" hidden="1">300</definedName>
    <definedName name="asad" hidden="1">{"away stand alones",#N/A,FALSE,"Target"}</definedName>
    <definedName name="ASAS" hidden="1">{#N/A,#N/A,FALSE,"Assumptions";#N/A,#N/A,FALSE,"Volumes";#N/A,#N/A,FALSE,"Pricing";#N/A,#N/A,FALSE,"Variable Cost";#N/A,#N/A,FALSE,"Investment";#N/A,#N/A,FALSE,"Profitability";#N/A,#N/A,FALSE,"Business Comparison"}</definedName>
    <definedName name="asasa" hidden="1">{"sga expense",#N/A,FALSE,"S,G&amp;A EXP"}</definedName>
    <definedName name="asdasd" hidden="1">{"toc1",#N/A,FALSE,"TOC";"cover",#N/A,FALSE,"Cover";"ts1",#N/A,FALSE,"Transaction Summary";"ei3",#N/A,FALSE,"Earnings Impact";"ad3",#N/A,FALSE,"accretion dilution"}</definedName>
    <definedName name="asdf" hidden="1">{#N/A,#N/A,FALSE,"Calc";#N/A,#N/A,FALSE,"Sensitivity";#N/A,#N/A,FALSE,"LT Earn.Dil.";#N/A,#N/A,FALSE,"Dil. AVP"}</definedName>
    <definedName name="asdfaefe" hidden="1">{"profit statement",#N/A,FALSE,"P&amp;L STATEMENT"}</definedName>
    <definedName name="asdfasdf" hidden="1">{"sga expense",#N/A,FALSE,"S,G&amp;A EXP"}</definedName>
    <definedName name="asdfsadf" hidden="1">{"product cost",#N/A,FALSE,"P&amp;L STATEMENT"}</definedName>
    <definedName name="asdre.dlfjdsf" hidden="1">{"product cost",#N/A,FALSE,"P&amp;L STATEMENT"}</definedName>
    <definedName name="asfsadfadsf" hidden="1">{"manpower",#N/A,FALSE,"MANPOWER_PAYROLL"}</definedName>
    <definedName name="asfsadfasdf" hidden="1">{"profit statement",#N/A,FALSE,"P&amp;L STATEMENT"}</definedName>
    <definedName name="assas" hidden="1">{#N/A,#N/A,TRUE,"Cover  Page";#N/A,#N/A,TRUE,"DAILY  RATE";#N/A,#N/A,TRUE,"Comprod";#N/A,#N/A,TRUE,"Monthly Rate ´98";#N/A,#N/A,TRUE,"Monthly Prod ´98";#N/A,#N/A,TRUE,"ENDDIA98";#N/A,#N/A,TRUE,"Calendar Year  1998";#N/A,#N/A,TRUE,"VENEZUELA";#N/A,#N/A,TRUE,"COLOMBIA";#N/A,#N/A,TRUE,"ECUADOR"}</definedName>
    <definedName name="assets">#REF!</definedName>
    <definedName name="avdd" hidden="1">{#N/A,#N/A,FALSE,"Calc";#N/A,#N/A,FALSE,"Sensitivity";#N/A,#N/A,FALSE,"LT Earn.Dil.";#N/A,#N/A,FALSE,"Dil. AVP"}</definedName>
    <definedName name="aw" hidden="1">#REF!</definedName>
    <definedName name="ax" hidden="1">#REF!</definedName>
    <definedName name="az" hidden="1">#REF!</definedName>
    <definedName name="BALANCE2" localSheetId="8" hidden="1">{#N/A,#N/A,TRUE,"HOJA 1 (P)";#N/A,#N/A,TRUE,"HOJA 2 (P)";#N/A,#N/A,TRUE,"HOJA 3 (P)";#N/A,#N/A,TRUE,"HOJA 4 (P)"}</definedName>
    <definedName name="BALANCE2" localSheetId="6" hidden="1">{#N/A,#N/A,TRUE,"HOJA 1 (P)";#N/A,#N/A,TRUE,"HOJA 2 (P)";#N/A,#N/A,TRUE,"HOJA 3 (P)";#N/A,#N/A,TRUE,"HOJA 4 (P)"}</definedName>
    <definedName name="BALANCE2" localSheetId="7" hidden="1">{#N/A,#N/A,TRUE,"HOJA 1 (P)";#N/A,#N/A,TRUE,"HOJA 2 (P)";#N/A,#N/A,TRUE,"HOJA 3 (P)";#N/A,#N/A,TRUE,"HOJA 4 (P)"}</definedName>
    <definedName name="BALANCE2" hidden="1">{#N/A,#N/A,TRUE,"HOJA 1 (P)";#N/A,#N/A,TRUE,"HOJA 2 (P)";#N/A,#N/A,TRUE,"HOJA 3 (P)";#N/A,#N/A,TRUE,"HOJA 4 (P)"}</definedName>
    <definedName name="balsheet">#REF!</definedName>
    <definedName name="bbb" hidden="1">{"A COM Detail YTD",#N/A,FALSE,"DATA";"B Exp Detail YTD",#N/A,FALSE,"DATA";"C COM Detail Qtr of",#N/A,FALSE,"DATA";"D Exp Detail Qtr of",#N/A,FALSE,"DATA";"A Performance Report",#N/A,FALSE,"%Performance"}</definedName>
    <definedName name="bbdc" hidden="1">#REF!</definedName>
    <definedName name="Best" hidden="1">{"Chart",#N/A,FALSE,"MATL";"Chart",#N/A,FALSE,"LAB";"Chart",#N/A,FALSE,"EXP";"Chart",#N/A,FALSE,"QUAL";"Chart",#N/A,FALSE,"DEL";"Chart",#N/A,FALSE,"STK";"Chart",#N/A,FALSE,"hr";"Chart",#N/A,FALSE,"lead"}</definedName>
    <definedName name="bf" hidden="1">#REF!</definedName>
    <definedName name="BFOC" hidden="1">{"'0103'!$A$455:$O$585"}</definedName>
    <definedName name="BG_Del" hidden="1">15</definedName>
    <definedName name="BG_Ins" hidden="1">4</definedName>
    <definedName name="BG_Mod" hidden="1">6</definedName>
    <definedName name="bh" hidden="1">#REF!</definedName>
    <definedName name="bk" hidden="1">#REF!</definedName>
    <definedName name="blabla" hidden="1">{"HO_sum_e",#N/A,FALSE,"Headoffice Summary";"Admin_sum_e",#N/A,FALSE,"ADMIN Sum";"Admin01_e",#N/A,FALSE,"ADMIN01";"Admin02_e",#N/A,FALSE,"ADMIN02";"AUXRE_e",#N/A,FALSE,"AUXRE";"CORAL_e",#N/A,FALSE,"CORAL";"GENGM_e",#N/A,FALSE,"GENGM";"HUMRE_sum_e",#N/A,FALSE,"HUMRE Sum";"HUMRE_01_e",#N/A,FALSE,"HUMRE01";"HUMRE01_e",#N/A,FALSE,"HUMRE02";"HUMRE03_e",#N/A,FALSE,"HUMRE03";"HUMRE04_e",#N/A,FALSE,"HUMRE04";"LGLGM_e",#N/A,FALSE,"LGLGM";"MKTGL_sum_e",#N/A,FALSE,"MKTGL Sum";"MKTGL01_e",#N/A,FALSE,"MKTGL01";"MKTGL02_e",#N/A,FALSE,"MKTGL02";"MKTGL03_e",#N/A,FALSE,"MKTGL03";"MKTGL04_e",#N/A,FALSE,"MKTGL04";"PRJDV_sum_e",#N/A,FALSE,"PRJDV Sum";"PRDJV01_e",#N/A,FALSE,"PRJDV01";"PRJDV02_e",#N/A,FALSE,"PRJDV02";"MKTSL_e",#N/A,FALSE,"MKTSL";"Publicity_e",#N/A,FALSE,"PUBLICITY";"Training_e",#N/A,FALSE,"Training"}</definedName>
    <definedName name="bm" hidden="1">#REF!</definedName>
    <definedName name="bnkj" hidden="1">{#N/A,#N/A,FALSE,"output";#N/A,#N/A,FALSE,"contrib";#N/A,#N/A,FALSE,"profile";#N/A,#N/A,FALSE,"comps"}</definedName>
    <definedName name="bnm" hidden="1">{"Full Sheet",#N/A,FALSE,"MATL";"Full Sheet",#N/A,FALSE,"LAB";"Full Sheet",#N/A,FALSE,"EXP";"Full Sheet",#N/A,FALSE,"QUAL";"Full Sheet",#N/A,FALSE,"DEL";"Full Sheet",#N/A,FALSE,"STK"}</definedName>
    <definedName name="BORDER">#REF!</definedName>
    <definedName name="bq" hidden="1">#REF!</definedName>
    <definedName name="bs" hidden="1">#REF!</definedName>
    <definedName name="bst" hidden="1">{"Chart",#N/A,FALSE,"MATL";"Chart",#N/A,FALSE,"LAB";"Chart",#N/A,FALSE,"EXP";"Chart",#N/A,FALSE,"QUAL";"Chart",#N/A,FALSE,"DEL";"Chart",#N/A,FALSE,"STK";"Chart",#N/A,FALSE,"hr";"Chart",#N/A,FALSE,"lead"}</definedName>
    <definedName name="buildup" hidden="1">{"capital",#N/A,FALSE,"CAPITAL_DEP'N"}</definedName>
    <definedName name="bvn" hidden="1">{"Full Sheet",#N/A,FALSE,"MATL";"Full Sheet",#N/A,FALSE,"LAB";"Full Sheet",#N/A,FALSE,"EXP";"Full Sheet",#N/A,FALSE,"QUAL";"Full Sheet",#N/A,FALSE,"DEL";"Full Sheet",#N/A,FALSE,"STK"}</definedName>
    <definedName name="bx" hidden="1">#REF!</definedName>
    <definedName name="bxcvb" hidden="1">{"profit statement",#N/A,FALSE,"P&amp;L STATEMENT"}</definedName>
    <definedName name="byproduct" hidden="1">#REF!</definedName>
    <definedName name="Cable" hidden="1">{#N/A,#N/A,FALSE,"Operations";#N/A,#N/A,FALSE,"Financials"}</definedName>
    <definedName name="Cable2" hidden="1">{#N/A,#N/A,FALSE,"Operations";#N/A,#N/A,FALSE,"Financials"}</definedName>
    <definedName name="cads" hidden="1">{"profit statement",#N/A,FALSE,"P&amp;L STATEMENT"}</definedName>
    <definedName name="camila" hidden="1">{"capital",#N/A,FALSE,"CAPITAL_DEP'N"}</definedName>
    <definedName name="Card" hidden="1">{"Full Sheet",#N/A,FALSE,"MATL";"Full Sheet",#N/A,FALSE,"LAB";"Full Sheet",#N/A,FALSE,"EXP";"Full Sheet",#N/A,FALSE,"QUAL";"Full Sheet",#N/A,FALSE,"DEL";"Full Sheet",#N/A,FALSE,"STK"}</definedName>
    <definedName name="card1" hidden="1">{"Full Sheet",#N/A,FALSE,"MATL";"Full Sheet",#N/A,FALSE,"LAB";"Full Sheet",#N/A,FALSE,"EXP";"Full Sheet",#N/A,FALSE,"QUAL";"Full Sheet",#N/A,FALSE,"DEL";"Full Sheet",#N/A,FALSE,"STK"}</definedName>
    <definedName name="carolyn">#REF!</definedName>
    <definedName name="CASH">#REF!</definedName>
    <definedName name="cbv" hidden="1">{"Chart",#N/A,FALSE,"MATL";"Chart",#N/A,FALSE,"LAB";"Chart",#N/A,FALSE,"EXP";"Chart",#N/A,FALSE,"QUAL";"Chart",#N/A,FALSE,"DEL";"Chart",#N/A,FALSE,"STK";"Chart",#N/A,FALSE,"hr";"Chart",#N/A,FALSE,"lead"}</definedName>
    <definedName name="cc" hidden="1">{#N/A,#N/A,FALSE,"CBE";#N/A,#N/A,FALSE,"SWK"}</definedName>
    <definedName name="CD" hidden="1">{"'0103'!$A$455:$O$585"}</definedName>
    <definedName name="charlie" hidden="1">#REF!</definedName>
    <definedName name="CIQWBGuid" hidden="1">"b9e65f52-1c9b-4a83-936e-05838f8d0a40"</definedName>
    <definedName name="cirque" hidden="1">{"Detailed",#N/A,FALSE,"Schedule4"}</definedName>
    <definedName name="cobranza1" localSheetId="8" hidden="1">{#N/A,#N/A,TRUE,"HOJA 1 (P)";#N/A,#N/A,TRUE,"HOJA 2 (P)";#N/A,#N/A,TRUE,"HOJA 3 (P)";#N/A,#N/A,TRUE,"HOJA 4 (P)"}</definedName>
    <definedName name="cobranza1" localSheetId="6" hidden="1">{#N/A,#N/A,TRUE,"HOJA 1 (P)";#N/A,#N/A,TRUE,"HOJA 2 (P)";#N/A,#N/A,TRUE,"HOJA 3 (P)";#N/A,#N/A,TRUE,"HOJA 4 (P)"}</definedName>
    <definedName name="cobranza1" localSheetId="7" hidden="1">{#N/A,#N/A,TRUE,"HOJA 1 (P)";#N/A,#N/A,TRUE,"HOJA 2 (P)";#N/A,#N/A,TRUE,"HOJA 3 (P)";#N/A,#N/A,TRUE,"HOJA 4 (P)"}</definedName>
    <definedName name="cobranza1" hidden="1">{#N/A,#N/A,TRUE,"HOJA 1 (P)";#N/A,#N/A,TRUE,"HOJA 2 (P)";#N/A,#N/A,TRUE,"HOJA 3 (P)";#N/A,#N/A,TRUE,"HOJA 4 (P)"}</definedName>
    <definedName name="compare">#REF!</definedName>
    <definedName name="cooper2" hidden="1">{#N/A,#N/A,TRUE,"Pro Forma";#N/A,#N/A,TRUE,"PF_Bal";#N/A,#N/A,TRUE,"PF_INC";#N/A,#N/A,TRUE,"CBE";#N/A,#N/A,TRUE,"SWK"}</definedName>
    <definedName name="corey" hidden="1">#REF!</definedName>
    <definedName name="costocel" hidden="1">#REF!</definedName>
    <definedName name="crazy" hidden="1">#REF!</definedName>
    <definedName name="creator" hidden="1">{"Detailed",#N/A,FALSE,"Schedule4"}</definedName>
    <definedName name="ct" hidden="1">#REF!</definedName>
    <definedName name="cv" hidden="1">{"Full Sheet",#N/A,FALSE,"MATL";"Full Sheet",#N/A,FALSE,"LAB";"Full Sheet",#N/A,FALSE,"EXP";"Full Sheet",#N/A,FALSE,"QUAL";"Full Sheet",#N/A,FALSE,"DEL";"Full Sheet",#N/A,FALSE,"STK"}</definedName>
    <definedName name="cvb" hidden="1">{"toc1",#N/A,FALSE,"TOC";"cover",#N/A,FALSE,"Cover";"ts1",#N/A,FALSE,"Transaction Summary";"ei3",#N/A,FALSE,"Earnings Impact";"ad3",#N/A,FALSE,"accretion dilution"}</definedName>
    <definedName name="cvbcsvbsdfb" hidden="1">{"manpower",#N/A,FALSE,"MANPOWER_PAYROLL"}</definedName>
    <definedName name="cvbn" hidden="1">{"Full Sheet",#N/A,FALSE,"MATL";"Full Sheet",#N/A,FALSE,"LAB";"Full Sheet",#N/A,FALSE,"EXP";"Full Sheet",#N/A,FALSE,"QUAL";"Full Sheet",#N/A,FALSE,"DEL";"Full Sheet",#N/A,FALSE,"STK"}</definedName>
    <definedName name="cxnbxcb" hidden="1">{"sga expense",#N/A,FALSE,"S,G&amp;A EXP"}</definedName>
    <definedName name="da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ana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ATA_sheet0" hidden="1">"'Reports Units_Global_Month '
0
"</definedName>
    <definedName name="DATA_sheets" hidden="1">1</definedName>
    <definedName name="days">#REF!</definedName>
    <definedName name="dd" hidden="1">{"works expense",#N/A,FALSE,"WORKS EXPENSE"}</definedName>
    <definedName name="dddd" hidden="1">{#N/A,#N/A,FALSE,"Profit Status";#N/A,#N/A,FALSE,"Invest";#N/A,#N/A,FALSE,"Revenue";#N/A,#N/A,FALSE,"Variable Cost";#N/A,#N/A,FALSE,"Options &amp; Series"}</definedName>
    <definedName name="delet4e" hidden="1">{#N/A,#N/A,FALSE,"GCM Data Sum";#N/A,#N/A,FALSE,"TIC-Calculation";#N/A,#N/A,FALSE,"TIC  Multiples";#N/A,#N/A,FALSE,"P-E &amp; Price to Book Multiples";#N/A,#N/A,FALSE,"Margins-EBITDA-to-Growth"}</definedName>
    <definedName name="delete4" hidden="1">{#N/A,#N/A,FALSE,"Projected Data &amp; SUBJECT-INPUTS"}</definedName>
    <definedName name="dfd" hidden="1">{"comp1",#N/A,FALSE,"COMPS";"footnotes",#N/A,FALSE,"COMPS"}</definedName>
    <definedName name="dfdfd" hidden="1">{"Financial View",#N/A,FALSE,"Annual";"BS, CF, assns view",#N/A,FALSE,"BS and SCF";"DCF view",#N/A,FALSE,"Valuation";"Sensitivity View",#N/A,FALSE,"Valuation"}</definedName>
    <definedName name="dfghjkl" hidden="1">{"Full Sheet",#N/A,FALSE,"MATL";"Full Sheet",#N/A,FALSE,"LAB";"Full Sheet",#N/A,FALSE,"EXP";"Full Sheet",#N/A,FALSE,"QUAL";"Full Sheet",#N/A,FALSE,"DEL";"Full Sheet",#N/A,FALSE,"STK"}</definedName>
    <definedName name="dfghjklñ" hidden="1">{"Full Sheet",#N/A,FALSE,"MATL";"Full Sheet",#N/A,FALSE,"LAB";"Full Sheet",#N/A,FALSE,"EXP";"Full Sheet",#N/A,FALSE,"QUAL";"Full Sheet",#N/A,FALSE,"DEL";"Full Sheet",#N/A,FALSE,"STK"}</definedName>
    <definedName name="dfgt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fgv" hidden="1">{"Full Sheet",#N/A,FALSE,"MATL";"Full Sheet",#N/A,FALSE,"LAB";"Full Sheet",#N/A,FALSE,"EXP";"Full Sheet",#N/A,FALSE,"QUAL";"Full Sheet",#N/A,FALSE,"DEL";"Full Sheet",#N/A,FALSE,"STK"}</definedName>
    <definedName name="dfs" hidden="1">{"capital",#N/A,FALSE,"CAPITAL_DEP'N"}</definedName>
    <definedName name="dgbdsfgrsd" hidden="1">{"profit statement",#N/A,FALSE,"P&amp;L STATEMENT"}</definedName>
    <definedName name="DiasCategorias">#REF!</definedName>
    <definedName name="Discount" hidden="1">#REF!</definedName>
    <definedName name="display_area_2" hidden="1">#REF!</definedName>
    <definedName name="dogdish" hidden="1">#REF!</definedName>
    <definedName name="drg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tu" hidden="1">{#N/A,#N/A,TRUE,"financial";#N/A,#N/A,TRUE,"plants"}</definedName>
    <definedName name="ed5dyx" hidden="1">{#N/A,#N/A,FALSE,"CBE";#N/A,#N/A,FALSE,"SWK"}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f" hidden="1">{"A COM Detail YTD",#N/A,FALSE,"DATA";"B Exp Detail YTD",#N/A,FALSE,"DATA";"C COM Detail Qtr of",#N/A,FALSE,"DATA";"D Exp Detail Qtr of",#N/A,FALSE,"DATA";"A Performance Report",#N/A,FALSE,"%Performance"}</definedName>
    <definedName name="efefesaf" hidden="1">{"sga expense",#N/A,FALSE,"S,G&amp;A EXP"}</definedName>
    <definedName name="eg" hidden="1">{"A COM Detail YTD",#N/A,FALSE,"DATA";"B Exp Detail YTD",#N/A,FALSE,"DATA";"C COM Detail Qtr of",#N/A,FALSE,"DATA";"D Exp Detail Qtr of",#N/A,FALSE,"DATA";"A Performance Report",#N/A,FALSE,"%Performance"}</definedName>
    <definedName name="eh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mily" hidden="1">{#N/A,#N/A,FALSE,"Calc";#N/A,#N/A,FALSE,"Sensitivity";#N/A,#N/A,FALSE,"LT Earn.Dil.";#N/A,#N/A,FALSE,"Dil. AVP"}</definedName>
    <definedName name="ERROR" hidden="1">{#N/A,#N/A,TRUE,"Cover  Page";#N/A,#N/A,TRUE,"DAILY  RATE";#N/A,#N/A,TRUE,"Comprod";#N/A,#N/A,TRUE,"Monthly Rate ´98";#N/A,#N/A,TRUE,"Monthly Prod ´98";#N/A,#N/A,TRUE,"ENDDIA98";#N/A,#N/A,TRUE,"Calendar Year  1998";#N/A,#N/A,TRUE,"VENEZUELA";#N/A,#N/A,TRUE,"COLOMBIA";#N/A,#N/A,TRUE,"ECUADOR"}</definedName>
    <definedName name="ERROR1" hidden="1">{#N/A,#N/A,TRUE,"Cover  Page";#N/A,#N/A,TRUE,"DAILY  RATE";#N/A,#N/A,TRUE,"Comprod";#N/A,#N/A,TRUE,"Monthly Prod ´99";#N/A,#N/A,TRUE,"Monthly Rate ´99";#N/A,#N/A,TRUE,"ENDDIA99";#N/A,#N/A,TRUE,"Calendar Year  1999"}</definedName>
    <definedName name="ERROR2" hidden="1">{#N/A,#N/A,TRUE,"Cover  Page";#N/A,#N/A,TRUE,"DAILY  RATE";#N/A,#N/A,TRUE,"Comprod";#N/A,#N/A,TRUE,"Monthly Rate ´98";#N/A,#N/A,TRUE,"Monthly Prod ´98";#N/A,#N/A,TRUE,"ENDDIA98";#N/A,#N/A,TRUE,"Calendar Year  1998";#N/A,#N/A,TRUE,"VENEZUELA";#N/A,#N/A,TRUE,"COLOMBIA";#N/A,#N/A,TRUE,"ECUADOR"}</definedName>
    <definedName name="ERROR3" hidden="1">{#N/A,#N/A,TRUE,"Cover  Page";#N/A,#N/A,TRUE,"DAILY  RATE";#N/A,#N/A,TRUE,"Comprod";#N/A,#N/A,TRUE,"Monthly Prod ´99";#N/A,#N/A,TRUE,"Monthly Rate ´99";#N/A,#N/A,TRUE,"ENDDIA99";#N/A,#N/A,TRUE,"Calendar Year  1999"}</definedName>
    <definedName name="ERROR4" hidden="1">{#N/A,#N/A,TRUE,"Cover  Page";#N/A,#N/A,TRUE,"DAILY  RATE";#N/A,#N/A,TRUE,"Comprod";#N/A,#N/A,TRUE,"Monthly Prod ´01";#N/A,#N/A,TRUE,"Calendar Year  2001"}</definedName>
    <definedName name="ERROR5" hidden="1">{#N/A,#N/A,TRUE,"Cover  Page";#N/A,#N/A,TRUE,"DAILY  RATE";#N/A,#N/A,TRUE,"Comprod";#N/A,#N/A,TRUE,"Monthly Prod ´01";#N/A,#N/A,TRUE,"Calendar Year  2001";#N/A,#N/A,TRUE,"Monthly Rate ´01";#N/A,#N/A,TRUE,"VENEZUELA";#N/A,#N/A,TRUE,"COLOMBIA";#N/A,#N/A,TRUE,"ECUADOR"}</definedName>
    <definedName name="EV__CVPARAMS__" hidden="1">"Trend!$B$17:$C$38;"</definedName>
    <definedName name="EV__EXPOPTIONS__" hidden="1">0</definedName>
    <definedName name="EV__LASTREFTIME__" hidden="1">38730.4229050925</definedName>
    <definedName name="EV__LOCKEDCVW__FINANCE" hidden="1">"APTrade,DIPBudget,LC,Carpet_Acoustics_NA,TOT_Func,ALL_Interco,2007.JAN,YTD,"</definedName>
    <definedName name="EV__LOCKEDCVW__RATE" hidden="1">"ACTUAL,ARS,Avg,TotalEntity2,2003.TOTAL,PERIODIC,"</definedName>
    <definedName name="EV__LOCKSTATUS__" hidden="1">1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134217728</definedName>
    <definedName name="EV__WBVERSION__" hidden="1">0</definedName>
    <definedName name="ev.Calculation" hidden="1">-4105</definedName>
    <definedName name="ev.Initialized" hidden="1">FALSE()</definedName>
    <definedName name="ExchangeRate_sheet0" hidden="1">"'ExchangeRate'
0
"</definedName>
    <definedName name="ExchangeRate_sheets" hidden="1">1</definedName>
    <definedName name="EXPLAIN">#REF!</definedName>
    <definedName name="exrate_sheet0" hidden="1">"'exrate'
0
"</definedName>
    <definedName name="exrate_sheets" hidden="1">1</definedName>
    <definedName name="eyr" hidden="1">{"hiden",#N/A,FALSE,"14";"hidden",#N/A,FALSE,"16";"hidden",#N/A,FALSE,"18";"hidden",#N/A,FALSE,"20"}</definedName>
    <definedName name="f.sdfg" hidden="1">{"sga expense",#N/A,FALSE,"S,G&amp;A EXP"}</definedName>
    <definedName name="FCode" localSheetId="6" hidden="1">#REF!</definedName>
    <definedName name="FCode" hidden="1">#REF!</definedName>
    <definedName name="fd" hidden="1">#REF!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gdfg" hidden="1">{"works expense",#N/A,FALSE,"WORKS EXPENSE"}</definedName>
    <definedName name="fds" hidden="1">{"comps",#N/A,FALSE,"comps";"notes",#N/A,FALSE,"comps"}</definedName>
    <definedName name="fdsf" hidden="1">{"general",#N/A,FALSE,"Assumptions"}</definedName>
    <definedName name="FechaInicio">#REF!</definedName>
    <definedName name="ffff" hidden="1">{"comps",#N/A,FALSE,"comps";"notes",#N/A,FALSE,"comps"}</definedName>
    <definedName name="fg" hidden="1">#REF!</definedName>
    <definedName name="fghgf" hidden="1">{"product cost",#N/A,FALSE,"P&amp;L STATEMENT"}</definedName>
    <definedName name="fgrg" hidden="1">{"manpower",#N/A,FALSE,"MANPOWER_PAYROLL"}</definedName>
    <definedName name="fh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filter" hidden="1">#REF!</definedName>
    <definedName name="find" hidden="1">#REF!</definedName>
    <definedName name="Finish" hidden="1">{"Pgm Mngt S/P",#N/A,FALSE,"Prg Mgt";"Govt Rltns S/P",#N/A,FALSE,"Govt Rltns";"HR S/P",#N/A,FALSE,"HR";"B&amp;A S/P",#N/A,FALSE,"B&amp;A";"Prjt Cntrl S/P",#N/A,FALSE,"Prjct Cntrls";"Contracts S/P",#N/A,FALSE,"Cntrct";"QA S/P",#N/A,FALSE,"QA";"IT S/P",#N/A,FALSE,"IT";"DC S/P",#N/A,FALSE,"DC";"PMM S/P",#N/A,FALSE,"PMM";"HSE S/P",#N/A,FALSE,"HSE";"ENG'G S/P",#N/A,FALSE,"Eng'g";"Comm'g S/P",#N/A,FALSE,"Comm'g";"Const SP",#N/A,FALSE,"Cnstrctn";"Construction SP1",#N/A,FALSE,"Cnstrctn"}</definedName>
    <definedName name="fins1" hidden="1">{#N/A,#N/A,FALSE,"Calc";#N/A,#N/A,FALSE,"Sensitivity";#N/A,#N/A,FALSE,"LT Earn.Dil.";#N/A,#N/A,FALSE,"Dil. AVP"}</definedName>
    <definedName name="fixed_assets" hidden="1">{"Detailed",#N/A,FALSE,"Schedule4"}</definedName>
    <definedName name="fjklds" hidden="1">{"capital",#N/A,FALSE,"CAPITAL_DEP'N"}</definedName>
    <definedName name="fsdf" hidden="1">{"Detailed",#N/A,FALSE,"Schedule4"}</definedName>
    <definedName name="fsdfs" hidden="1">{#N/A,#N/A,FALSE,"Profit Status";#N/A,#N/A,FALSE,"Invest";#N/A,#N/A,FALSE,"Revenue";#N/A,#N/A,FALSE,"Variable Cost";#N/A,#N/A,FALSE,"Options &amp; Series"}</definedName>
    <definedName name="fsdvnslc.asdfkusad" hidden="1">{"works expense",#N/A,FALSE,"WORKS EXPENSE"}</definedName>
    <definedName name="g" hidden="1">{"works expense",#N/A,FALSE,"WORKS EXPENSE"}</definedName>
    <definedName name="gf" hidden="1">#REF!</definedName>
    <definedName name="gg" hidden="1">#REF!</definedName>
    <definedName name="ggf" hidden="1">{"comps",#N/A,FALSE,"comps";"notes",#N/A,FALSE,"comps"}</definedName>
    <definedName name="ggnhfrgerwgt2464" hidden="1">{#N/A,#N/A,TRUE,"Cover  Page";#N/A,#N/A,TRUE,"DAILY  RATE";#N/A,#N/A,TRUE,"Comprod";#N/A,#N/A,TRUE,"Monthly Prod ´01";#N/A,#N/A,TRUE,"Calendar Year  2001";#N/A,#N/A,TRUE,"Monthly Rate ´01";#N/A,#N/A,TRUE,"VENEZUELA";#N/A,#N/A,TRUE,"COLOMBIA";#N/A,#N/A,TRUE,"ECUADOR"}</definedName>
    <definedName name="gh" hidden="1">{"works expense",#N/A,FALSE,"WORKS EXPENSE"}</definedName>
    <definedName name="ghjgf" hidden="1">{"manpower",#N/A,FALSE,"MANPOWER_PAYROLL"}</definedName>
    <definedName name="GlobalF1_sheet0" hidden="1">"'globalF1'
0
"</definedName>
    <definedName name="GlobalF1_sheets" hidden="1">1</definedName>
    <definedName name="GlobalF1Amounts_sheet0" hidden="1">"'globalF1Amounts'
0
"</definedName>
    <definedName name="GlobalF1Amounts_sheets" hidden="1">1</definedName>
    <definedName name="GlobalF2_sheet0" hidden="1">"'globalF2'
0
"</definedName>
    <definedName name="GlobalF2_sheets" hidden="1">1</definedName>
    <definedName name="GlobalF2Amounts_sheet0" hidden="1">"'globalF2Amounts'
0
"</definedName>
    <definedName name="GlobalF2Amounts_sheets" hidden="1">1</definedName>
    <definedName name="Globalregions_sheet0" hidden="1">"'Reports Units_Global full year'
0
"</definedName>
    <definedName name="Globalregions_sheets" hidden="1">1</definedName>
    <definedName name="Globalregionsamount_sheet0" hidden="1">"'Reports $_Global full year'
0
"</definedName>
    <definedName name="Globalregionsamount_sheets" hidden="1">1</definedName>
    <definedName name="globalSales1_sheet0" hidden="1">"'globalSales1'
0
"</definedName>
    <definedName name="globalSales1_sheets" hidden="1">1</definedName>
    <definedName name="globalSalesamount_sheet0" hidden="1">"'globalSalesamount'
0
"</definedName>
    <definedName name="globalSalesamount_sheets" hidden="1">1</definedName>
    <definedName name="gme" hidden="1">{#N/A,#N/A,FALSE,"Introduction";#N/A,#N/A,FALSE,"ALL BL";#N/A,#N/A,FALSE,"BL1";#N/A,#N/A,FALSE,"01ACRI";#N/A,#N/A,FALSE,"01Amino";#N/A,#N/A,FALSE,"01CEDA";#N/A,#N/A,FALSE,"01COAK";#N/A,#N/A,FALSE,"01EPOX";#N/A,#N/A,FALSE,"01MECO";#N/A,#N/A,FALSE,"01OTRE";#N/A,#N/A,FALSE,"01PHCO";#N/A,#N/A,FALSE,"01PUDI";#N/A,#N/A,FALSE,"01UPCO";#N/A,#N/A,FALSE,"01UVRE";#N/A,#N/A,FALSE,"01WBAK";#N/A,#N/A,FALSE,"BL2";#N/A,#N/A,FALSE,"BL3";#N/A,#N/A,FALSE,"03MESP";#N/A,#N/A,FALSE,"03METE";#N/A,#N/A,FALSE,"03PHTE";#N/A,#N/A,FALSE,"03UPTE";#N/A,#N/A,FALSE,"03SOI";#N/A,#N/A,FALSE,"BL4";#N/A,#N/A,FALSE,"04ADDI";#N/A,#N/A,FALSE,"04SOI"}</definedName>
    <definedName name="Graphz" hidden="1">#REF!</definedName>
    <definedName name="gscbvc" hidden="1">{"works expense",#N/A,FALSE,"WORKS EXPENSE"}</definedName>
    <definedName name="happy" hidden="1">#REF!</definedName>
    <definedName name="HEADING">#REF!</definedName>
    <definedName name="hellop" hidden="1">#REF!</definedName>
    <definedName name="hg" hidden="1">{"review",#N/A,FALSE,"FACTSHT"}</definedName>
    <definedName name="hhhsdf" hidden="1">{"up stand alones",#N/A,FALSE,"Acquiror"}</definedName>
    <definedName name="hi" hidden="1">#REF!</definedName>
    <definedName name="HiddenRows" hidden="1">#REF!</definedName>
    <definedName name="hj" hidden="1">{"works expense",#N/A,FALSE,"WORKS EXPENSE"}</definedName>
    <definedName name="hjiok" hidden="1">{"Full Sheet",#N/A,FALSE,"MATL";"Full Sheet",#N/A,FALSE,"LAB";"Full Sheet",#N/A,FALSE,"EXP";"Full Sheet",#N/A,FALSE,"QUAL";"Full Sheet",#N/A,FALSE,"DEL";"Full Sheet",#N/A,FALSE,"STK"}</definedName>
    <definedName name="hjk" hidden="1">{"Full Sheet",#N/A,FALSE,"MATL";"Full Sheet",#N/A,FALSE,"LAB";"Full Sheet",#N/A,FALSE,"EXP";"Full Sheet",#N/A,FALSE,"QUAL";"Full Sheet",#N/A,FALSE,"DEL";"Full Sheet",#N/A,FALSE,"STK"}</definedName>
    <definedName name="hjkl" hidden="1">{"Chart",#N/A,FALSE,"MATL";"Chart",#N/A,FALSE,"LAB";"Chart",#N/A,FALSE,"EXP";"Chart",#N/A,FALSE,"QUAL";"Chart",#N/A,FALSE,"DEL";"Chart",#N/A,FALSE,"STK";"Chart",#N/A,FALSE,"hr";"Chart",#N/A,FALSE,"lead"}</definedName>
    <definedName name="hn.ExtDb" hidden="1">FALSE()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snss" localSheetId="8" hidden="1">{#N/A,#N/A,TRUE,"HOJA 1 (P)";#N/A,#N/A,TRUE,"HOJA 2 (P)";#N/A,#N/A,TRUE,"HOJA 3 (P)";#N/A,#N/A,TRUE,"HOJA 4 (P)"}</definedName>
    <definedName name="hsnss" localSheetId="6" hidden="1">{#N/A,#N/A,TRUE,"HOJA 1 (P)";#N/A,#N/A,TRUE,"HOJA 2 (P)";#N/A,#N/A,TRUE,"HOJA 3 (P)";#N/A,#N/A,TRUE,"HOJA 4 (P)"}</definedName>
    <definedName name="hsnss" localSheetId="7" hidden="1">{#N/A,#N/A,TRUE,"HOJA 1 (P)";#N/A,#N/A,TRUE,"HOJA 2 (P)";#N/A,#N/A,TRUE,"HOJA 3 (P)";#N/A,#N/A,TRUE,"HOJA 4 (P)"}</definedName>
    <definedName name="hsnss" hidden="1">{#N/A,#N/A,TRUE,"HOJA 1 (P)";#N/A,#N/A,TRUE,"HOJA 2 (P)";#N/A,#N/A,TRUE,"HOJA 3 (P)";#N/A,#N/A,TRUE,"HOJA 4 (P)"}</definedName>
    <definedName name="hsrtdgdr" hidden="1">{"works expense",#N/A,FALSE,"WORKS EXPENSE"}</definedName>
    <definedName name="HTML_CodePage" hidden="1">1252</definedName>
    <definedName name="HTML_Control" localSheetId="8" hidden="1">{"'BALANCE GENERAL'!$A$1:$M$73","'EDO RESULTADOS'!$A$1:$K$45","'EDO VARIACIONES'!$A$1:$L$45","'EDO CAMBIOS'!$A$1:$I$55"}</definedName>
    <definedName name="HTML_Control" localSheetId="6" hidden="1">{"'BALANCE GENERAL'!$A$1:$M$73","'EDO RESULTADOS'!$A$1:$K$45","'EDO VARIACIONES'!$A$1:$L$45","'EDO CAMBIOS'!$A$1:$I$55"}</definedName>
    <definedName name="HTML_Control" localSheetId="7" hidden="1">{"'BALANCE GENERAL'!$A$1:$M$73","'EDO RESULTADOS'!$A$1:$K$45","'EDO VARIACIONES'!$A$1:$L$45","'EDO CAMBIOS'!$A$1:$I$55"}</definedName>
    <definedName name="HTML_Control" hidden="1">{"'BALANCE GENERAL'!$A$1:$M$73","'EDO RESULTADOS'!$A$1:$K$45","'EDO VARIACIONES'!$A$1:$L$45","'EDO CAMBIOS'!$A$1:$I$55"}</definedName>
    <definedName name="HTML_Description" hidden="1">""</definedName>
    <definedName name="HTML_Email" hidden="1">""</definedName>
    <definedName name="HTML_Header" hidden="1">"EDO CAMBIOS"</definedName>
    <definedName name="HTML_LastUpdate" hidden="1">"03/02/2000"</definedName>
    <definedName name="HTML_LineAfter" hidden="1">FALSE()</definedName>
    <definedName name="HTML_LineBefore" hidden="1">FALSE()</definedName>
    <definedName name="HTML_Name" hidden="1">"COORDINACION"</definedName>
    <definedName name="HTML_OBDlg2" hidden="1">TRUE()</definedName>
    <definedName name="HTML_OBDlg4" hidden="1">TRUE()</definedName>
    <definedName name="HTML_OS" hidden="1">0</definedName>
    <definedName name="HTML_PathFile" hidden="1">"C:\Circunet\Bancos\1459Anexos.htm"</definedName>
    <definedName name="HTML_Title" hidden="1">"1459Anexos"</definedName>
    <definedName name="i" localSheetId="8" hidden="1">{#N/A,#N/A,FALSE,"HOJA 1";#N/A,#N/A,FALSE,"HOJA 2";#N/A,#N/A,FALSE,"HOJA 3";#N/A,#N/A,FALSE,"DATOS";#N/A,#N/A,FALSE,"IVA"}</definedName>
    <definedName name="i" localSheetId="6" hidden="1">{#N/A,#N/A,FALSE,"HOJA 1";#N/A,#N/A,FALSE,"HOJA 2";#N/A,#N/A,FALSE,"HOJA 3";#N/A,#N/A,FALSE,"DATOS";#N/A,#N/A,FALSE,"IVA"}</definedName>
    <definedName name="i" localSheetId="7" hidden="1">{#N/A,#N/A,FALSE,"HOJA 1";#N/A,#N/A,FALSE,"HOJA 2";#N/A,#N/A,FALSE,"HOJA 3";#N/A,#N/A,FALSE,"DATOS";#N/A,#N/A,FALSE,"IVA"}</definedName>
    <definedName name="i" hidden="1">{#N/A,#N/A,FALSE,"HOJA 1";#N/A,#N/A,FALSE,"HOJA 2";#N/A,#N/A,FALSE,"HOJA 3";#N/A,#N/A,FALSE,"DATOS";#N/A,#N/A,FALSE,"IVA"}</definedName>
    <definedName name="ik" hidden="1">{"casespecific",#N/A,FALSE,"Assumptions"}</definedName>
    <definedName name="inside" hidden="1">#REF!</definedName>
    <definedName name="inter_co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BS_PERIOD" hidden="1">"c13823"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ID" hidden="1">"c13756"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TDDEV_EST_REUT" hidden="1">"c5408"</definedName>
    <definedName name="IQ_BV_STDDEV_EST_THOM" hidden="1">"c5152"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_IND_LOANS_TOT_LOANS_FFIEC" hidden="1">"c13874"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NST_LAND_DEV_LOANS_TOT_LOANS_FFIEC" hidden="1">"c13865"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SUMER_LOANS_TOT_LOANS_FFIEC" hidden="1">"c13875"</definedName>
    <definedName name="IQ_CONTRACTS_OTHER_COMMODITIES_EQUITIES_FDIC" hidden="1">"c6522"</definedName>
    <definedName name="IQ_CONTRACTS_OTHER_COMMODITIES_EQUITIES.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FFIEC" hidden="1">"c13862"</definedName>
    <definedName name="IQ_CORE_DEPOSITS_TOT_DEPOSITS_FFIEC" hidden="1">"c13911"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ORATE_OVER_TOTAL" hidden="1">"c13767"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C" hidden="1">"c13834"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M_OFFICE_DEPOSITS_TOT_DEPOSITS_FFIEC" hidden="1">"c13910"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"c157"</definedName>
    <definedName name="IQ_EBIT_GROWTH_2" hidden="1">"c161"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GROWTH_1" hidden="1">"c156"</definedName>
    <definedName name="IQ_EBITDA_GROWTH_2" hidden="1">"c160"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O_EST" hidden="1">"c267"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1" hidden="1">"c189"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_EST" hidden="1">"c271"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OVER_TOTAL" hidden="1">"c13768"</definedName>
    <definedName name="IQ_EST_ACT_BV_REUT" hidden="1">"c5409"</definedName>
    <definedName name="IQ_EST_ACT_BV_THOM" hidden="1">"c5153"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FFO_REUT" hidden="1">"c3843"</definedName>
    <definedName name="IQ_EST_ACT_FFO_SHARE_REUT" hidden="1">"c3843"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BV_DIFF_REUT" hidden="1">"c5433"</definedName>
    <definedName name="IQ_EST_BV_DIFF_THOM" hidden="1">"c5204"</definedName>
    <definedName name="IQ_EST_BV_SURPRISE_PERCENT_REUT" hidden="1">"c5434"</definedName>
    <definedName name="IQ_EST_BV_SURPRISE_PERCENT_THOM" hidden="1">"c5205"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HARE_DIFF_REUT" hidden="1">"c3890"</definedName>
    <definedName name="IQ_EST_FFO_SHARE_SURPRISE_PERCENT_REUT" hidden="1">"c3891"</definedName>
    <definedName name="IQ_EST_FFO_SURPRISE_PERCENT" hidden="1">"c1870"</definedName>
    <definedName name="IQ_EST_FFO_SURPRISE_PERCENT_REUT" hidden="1">"c3891"</definedName>
    <definedName name="IQ_EST_NAV_DIFF" hidden="1">"c1895"</definedName>
    <definedName name="IQ_EST_NAV_SURPRISE_PERCENT" hidden="1">"c1896"</definedName>
    <definedName name="IQ_EST_NEXT_EARNINGS_DATE" hidden="1">"c13591"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NO_OPINION" hidden="1">"c1758"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PLORE_DRILL_EXP_TOTAL" hidden="1">"c13850"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EST_REUT" hidden="1">"c3837"</definedName>
    <definedName name="IQ_FFO_HIGH_EST" hidden="1">"c419"</definedName>
    <definedName name="IQ_FFO_HIGH_EST_REUT" hidden="1">"c3839"</definedName>
    <definedName name="IQ_FFO_LOW_EST" hidden="1">"c420"</definedName>
    <definedName name="IQ_FFO_LOW_EST_REUT" hidden="1">"c3840"</definedName>
    <definedName name="IQ_FFO_MEDIAN_EST" hidden="1">"c1665"</definedName>
    <definedName name="IQ_FFO_MEDIAN_EST_REUT" hidden="1">"c3838"</definedName>
    <definedName name="IQ_FFO_NO_EST" hidden="1">"c276"</definedName>
    <definedName name="IQ_FFO_NUM_EST" hidden="1">"c421"</definedName>
    <definedName name="IQ_FFO_NUM_EST_REUT" hidden="1">"c3841"</definedName>
    <definedName name="IQ_FFO_PAYOUT_RATIO" hidden="1">"c3492"</definedName>
    <definedName name="IQ_FFO_SHARE_EST_REUT" hidden="1">"c3837"</definedName>
    <definedName name="IQ_FFO_SHARE_HIGH_EST_REUT" hidden="1">"c3839"</definedName>
    <definedName name="IQ_FFO_SHARE_LOW_EST_REUT" hidden="1">"c3840"</definedName>
    <definedName name="IQ_FFO_SHARE_MEDIAN_EST_REUT" hidden="1">"c3838"</definedName>
    <definedName name="IQ_FFO_SHARE_NUM_EST_REUT" hidden="1">"c3841"</definedName>
    <definedName name="IQ_FFO_SHARE_STDDEV_EST_REUT" hidden="1">"c3842"</definedName>
    <definedName name="IQ_FFO_STDDEV_EST" hidden="1">"c422"</definedName>
    <definedName name="IQ_FFO_STDDEV_EST_REUT" hidden="1">"c3842"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DGEFUND_OVER_TOTAL" hidden="1">"c13771"</definedName>
    <definedName name="IQ_HELD_MATURITY_FDIC" hidden="1">"c6408"</definedName>
    <definedName name="IQ_HIGH_TARGET_PRICE" hidden="1">"c1651"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AIRMENT_GW_SUPPLE" hidden="1">"c13811"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MDA_SAVINGS_TOT_DEPOSITS_FFIEC" hidden="1">"c13905"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_5_LOANS_TOT_LOANS_FFIEC" hidden="1">"c13869"</definedName>
    <definedName name="IQ_MULTIFAMILY_RESIDENTIAL_LOANS_FDIC" hidden="1">"c6311"</definedName>
    <definedName name="IQ_NAMES_REVISION_DATE_" hidden="1">42492.6740046296</definedName>
    <definedName name="IQ_NATIVE_COMPANY_NAME" hidden="1">"c13822"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CURRENT_LOANS_FFIEC" hidden="1">"c13860"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OTHER_TRANS_ACCTS_TOT_DEPOSITS_FFIEC" hidden="1">"c13903"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AX_EQUIVALENT_ADJUSTMENTS_FFIEC" hidden="1">"c13855"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12MONTHS" hidden="1">"c1828"</definedName>
    <definedName name="IQ_PERCENT_CHANGE_EST_FFO_SHARE_12MONTHS_REUT" hidden="1">"c3938"</definedName>
    <definedName name="IQ_PERCENT_CHANGE_EST_FFO_SHARE_18MONTHS" hidden="1">"c1829"</definedName>
    <definedName name="IQ_PERCENT_CHANGE_EST_FFO_SHARE_18MONTHS_REUT" hidden="1">"c3939"</definedName>
    <definedName name="IQ_PERCENT_CHANGE_EST_FFO_SHARE_3MONTHS" hidden="1">"c1825"</definedName>
    <definedName name="IQ_PERCENT_CHANGE_EST_FFO_SHARE_3MONTHS_REUT" hidden="1">"c3935"</definedName>
    <definedName name="IQ_PERCENT_CHANGE_EST_FFO_SHARE_6MONTHS" hidden="1">"c1826"</definedName>
    <definedName name="IQ_PERCENT_CHANGE_EST_FFO_SHARE_6MONTHS_REUT" hidden="1">"c3936"</definedName>
    <definedName name="IQ_PERCENT_CHANGE_EST_FFO_SHARE_9MONTHS" hidden="1">"c1827"</definedName>
    <definedName name="IQ_PERCENT_CHANGE_EST_FFO_SHARE_9MONTHS_REUT" hidden="1">"c3937"</definedName>
    <definedName name="IQ_PERCENT_CHANGE_EST_FFO_SHARE_DAY" hidden="1">"c1822"</definedName>
    <definedName name="IQ_PERCENT_CHANGE_EST_FFO_SHARE_DAY_REUT" hidden="1">"c3933"</definedName>
    <definedName name="IQ_PERCENT_CHANGE_EST_FFO_SHARE_MONTH" hidden="1">"c1824"</definedName>
    <definedName name="IQ_PERCENT_CHANGE_EST_FFO_SHARE_MONTH_REUT" hidden="1">"c3934"</definedName>
    <definedName name="IQ_PERCENT_CHANGE_EST_FFO_SHARE_WEEK" hidden="1">"c1823"</definedName>
    <definedName name="IQ_PERCENT_CHANGE_EST_FFO_SHARE_WEEK_REUT" hidden="1">"c3964"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FLOAT" hidden="1">"c227"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ID" hidden="1">"c13755"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COMMON_EQUITY" hidden="1">"c13838"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EST" hidden="1">"c1126"</definedName>
    <definedName name="IQ_REVENUE_EST_1" hidden="1">"c190"</definedName>
    <definedName name="IQ_REVENUE_GROWTH_1" hidden="1">"c155"</definedName>
    <definedName name="IQ_REVENUE_GROWTH_2" hidden="1">"c159"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O_EST" hidden="1">"c263"</definedName>
    <definedName name="IQ_REVENUE_NUM_EST" hidden="1">"c1129"</definedName>
    <definedName name="IQ_REVISION_DATE_" hidden="1">38971.5590740741</definedName>
    <definedName name="IQ_REVOLVING_SECURED_1_4_NON_ACCRUAL_FFIEC" hidden="1">"c13314"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NGIBLE_ASSETS_FFIEC" hidden="1">"c13916"</definedName>
    <definedName name="IQ_TANGIBLE_COMMON_EQUITY_FFIEC" hidden="1">"c13914"</definedName>
    <definedName name="IQ_TANGIBLE_EQUITY_FFIEC" hidden="1">"c13915"</definedName>
    <definedName name="IQ_TARGET_PRICE_LASTCLOSE" hidden="1">"c1855"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TOT_DEPOSITS_FFIEC" hidden="1">"c13907"</definedName>
    <definedName name="IQ_TIME_DEPOSITS_LESS_THAN_100K_FDIC" hidden="1">"c6465"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EQUITY_TOTAL_ASSETS_FFIEC" hidden="1">"c13863"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ISK_WEIGHTED_ASSETS_FFIEC" hidden="1">"c13858"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SUPPLE" hidden="1">"c13817"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_ACCTS_TOT_DEPOSITS_FFIEC" hidden="1">"c13904"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0</definedName>
    <definedName name="IQRA12" hidden="1">"$A$13:$A$1270"</definedName>
    <definedName name="IQRA8" hidden="1">"$A$9:$A$260"</definedName>
    <definedName name="IQRAF17" hidden="1">"$AF$18:$AF$271"</definedName>
    <definedName name="IQRB8" hidden="1">"$B$9:$B$260"</definedName>
    <definedName name="IQRC8" hidden="1">"$C$9:$C$260"</definedName>
    <definedName name="IQRK12" hidden="1">"$K$13:$K$1270"</definedName>
    <definedName name="IsColHidden" hidden="1">FALSE()</definedName>
    <definedName name="IsLTMColHidden" hidden="1">FALSE()</definedName>
    <definedName name="ISR" localSheetId="8" hidden="1">{#N/A,#N/A,TRUE,"HOJA 1 (P)";#N/A,#N/A,TRUE,"HOJA 2 (P)";#N/A,#N/A,TRUE,"HOJA 3 (P)";#N/A,#N/A,TRUE,"HOJA 4 (P)"}</definedName>
    <definedName name="ISR" localSheetId="6" hidden="1">{#N/A,#N/A,TRUE,"HOJA 1 (P)";#N/A,#N/A,TRUE,"HOJA 2 (P)";#N/A,#N/A,TRUE,"HOJA 3 (P)";#N/A,#N/A,TRUE,"HOJA 4 (P)"}</definedName>
    <definedName name="ISR" localSheetId="7" hidden="1">{#N/A,#N/A,TRUE,"HOJA 1 (P)";#N/A,#N/A,TRUE,"HOJA 2 (P)";#N/A,#N/A,TRUE,"HOJA 3 (P)";#N/A,#N/A,TRUE,"HOJA 4 (P)"}</definedName>
    <definedName name="ISR" hidden="1">{#N/A,#N/A,TRUE,"HOJA 1 (P)";#N/A,#N/A,TRUE,"HOJA 2 (P)";#N/A,#N/A,TRUE,"HOJA 3 (P)";#N/A,#N/A,TRUE,"HOJA 4 (P)"}</definedName>
    <definedName name="Ivy" hidden="1">{"A COM Detail YTD",#N/A,FALSE,"DATA";"B Exp Detail YTD",#N/A,FALSE,"DATA"}</definedName>
    <definedName name="jnkjbn6" hidden="1">{#N/A,#N/A,TRUE,"Cover  Page";#N/A,#N/A,TRUE,"PRODCAL";#N/A,#N/A,TRUE,"BUDGET";#N/A,#N/A,TRUE,"PRODMOD";#N/A,#N/A,TRUE,"JPD";#N/A,#N/A,TRUE,"DAILY  RATE";#N/A,#N/A,TRUE,"Comprod";#N/A,#N/A,TRUE,"Monthly Rate ´99";#N/A,#N/A,TRUE,"Monthly Prod ´99";#N/A,#N/A,TRUE,"PROG. BY MOD. YEAR";#N/A,#N/A,TRUE,"VENEZUELA";#N/A,#N/A,TRUE,"COLOMBIA";#N/A,#N/A,TRUE,"ECUADOR";#N/A,#N/A,TRUE,"Calendar Year  1999"}</definedName>
    <definedName name="k" hidden="1">{#N/A,#N/A,TRUE,"MEMO";#N/A,#N/A,TRUE,"COMMITMENT";#N/A,#N/A,TRUE,"PRODCAL";#N/A,#N/A,TRUE,"BUDGET";#N/A,#N/A,TRUE,"PRODMOD";#N/A,#N/A,TRUE,"JPD";#N/A,#N/A,TRUE,"DAILY  RATE";#N/A,#N/A,TRUE,"Comprod";#N/A,#N/A,TRUE,"Monthly Rate ´98";#N/A,#N/A,TRUE,"Monthly Prod ´98";#N/A,#N/A,TRUE,"PROG. BY MOD. YEAR";#N/A,#N/A,TRUE,"VENEZUELA";#N/A,#N/A,TRUE,"COLOMBIA";#N/A,#N/A,TRUE,"ECUADOR";#N/A,#N/A,TRUE,"Calendar Year  1998"}</definedName>
    <definedName name="K2_WBEVMODE" hidden="1">0</definedName>
    <definedName name="KC_Summary" hidden="1">38749.4027314815</definedName>
    <definedName name="keys" hidden="1">#REF!</definedName>
    <definedName name="khlk" hidden="1">{"Detailed",#N/A,FALSE,"Schedule4"}</definedName>
    <definedName name="kindhearted" hidden="1">#REF!</definedName>
    <definedName name="kkk" hidden="1">{"works expense",#N/A,FALSE,"WORKS EXPENSE"}</definedName>
    <definedName name="kkkk" hidden="1">{"product cost",#N/A,FALSE,"P&amp;L STATEMENT"}</definedName>
    <definedName name="kol" hidden="1">{"away stand alones",#N/A,FALSE,"Target"}</definedName>
    <definedName name="l" hidden="1">{#N/A,#N/A,TRUE,"Cover  Page";#N/A,#N/A,TRUE,"DAILY  RATE";#N/A,#N/A,TRUE,"Comprod";#N/A,#N/A,TRUE,"Monthly Prod ´99";#N/A,#N/A,TRUE,"Monthly Rate ´99";#N/A,#N/A,TRUE,"ENDDIA99";#N/A,#N/A,TRUE,"Calendar Year  1999"}</definedName>
    <definedName name="Lighting" hidden="1">{#N/A,#N/A,FALSE,"Profit Status";#N/A,#N/A,FALSE,"Invest";#N/A,#N/A,FALSE,"Revenue";#N/A,#N/A,FALSE,"Variable Cost";#N/A,#N/A,FALSE,"Options &amp; Series"}</definedName>
    <definedName name="limcount" hidden="1">1</definedName>
    <definedName name="ll" hidden="1">#REF!</definedName>
    <definedName name="LLCP" hidden="1">{"PAGE1",#N/A,FALSE,"BID (3)";"PAGE2",#N/A,FALSE,"BID (3)"}</definedName>
    <definedName name="llll" hidden="1">#REF!</definedName>
    <definedName name="LoadData_sheet0" hidden="1">"'LoadData'
0
"</definedName>
    <definedName name="LoadData_sheets" hidden="1">1</definedName>
    <definedName name="longtermdebt">#REF!</definedName>
    <definedName name="ltovar" hidden="1">{"manpower",#N/A,FALSE,"MANPOWER_PAYROLL"}</definedName>
    <definedName name="luis" hidden="1">{"manpower",#N/A,FALSE,"MANPOWER_PAYROLL"}</definedName>
    <definedName name="LVSum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MAp" hidden="1">38496.888912037</definedName>
    <definedName name="MARKET_sheet0" hidden="1">"'START'
0
"</definedName>
    <definedName name="MARKET_sheets" hidden="1">1</definedName>
    <definedName name="maryelin" hidden="1">{"capital",#N/A,FALSE,"CAPITAL_DEP'N"}</definedName>
    <definedName name="maybe" hidden="1">{"profit statement",#N/A,FALSE,"P&amp;L STATEMENT"}</definedName>
    <definedName name="mo_je">#REF!</definedName>
    <definedName name="modelo2" hidden="1">{"Full Sheet",#N/A,FALSE,"MATL";"Full Sheet",#N/A,FALSE,"LAB";"Full Sheet",#N/A,FALSE,"EXP";"Full Sheet",#N/A,FALSE,"QUAL";"Full Sheet",#N/A,FALSE,"DEL";"Full Sheet",#N/A,FALSE,"STK"}</definedName>
    <definedName name="mystere" hidden="1">{"Summary",#N/A,FALSE,"Schedule4"}</definedName>
    <definedName name="n" hidden="1">{#N/A,#N/A,TRUE,"Cover  Page";#N/A,#N/A,TRUE,"DAILY  RATE";#N/A,#N/A,TRUE,"Comprod";#N/A,#N/A,TRUE,"Monthly Prod ´99";#N/A,#N/A,TRUE,"Monthly Rate ´99";#N/A,#N/A,TRUE,"ENDDIA99";#N/A,#N/A,TRUE,"Calendar Year  1999"}</definedName>
    <definedName name="n0o" hidden="1">{"Full Sheet",#N/A,FALSE,"MATL";"Full Sheet",#N/A,FALSE,"LAB";"Full Sheet",#N/A,FALSE,"EXP";"Full Sheet",#N/A,FALSE,"QUAL";"Full Sheet",#N/A,FALSE,"DEL";"Full Sheet",#N/A,FALSE,"STK";"Full Sheet",#N/A,FALSE,"hr";"Full Sheet",#N/A,FALSE,"lead";"Full Sheet",#N/A,FALSE,"hkp"}</definedName>
    <definedName name="nb" hidden="1">{"Keapg1",#N/A,FALSE,"Keane";"Keapg2",#N/A,FALSE,"Keane";"Keapg4",#N/A,FALSE,"Keane"}</definedName>
    <definedName name="no" hidden="1">{"works expense",#N/A,FALSE,"WORKS EXPENSE"}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o" localSheetId="8" hidden="1">{#N/A,#N/A,TRUE,"HOJA 1 (P)";#N/A,#N/A,TRUE,"HOJA 2 (P)";#N/A,#N/A,TRUE,"HOJA 3 (P)";#N/A,#N/A,TRUE,"HOJA 4 (P)"}</definedName>
    <definedName name="o" localSheetId="6" hidden="1">{#N/A,#N/A,TRUE,"HOJA 1 (P)";#N/A,#N/A,TRUE,"HOJA 2 (P)";#N/A,#N/A,TRUE,"HOJA 3 (P)";#N/A,#N/A,TRUE,"HOJA 4 (P)"}</definedName>
    <definedName name="o" localSheetId="7" hidden="1">{#N/A,#N/A,TRUE,"HOJA 1 (P)";#N/A,#N/A,TRUE,"HOJA 2 (P)";#N/A,#N/A,TRUE,"HOJA 3 (P)";#N/A,#N/A,TRUE,"HOJA 4 (P)"}</definedName>
    <definedName name="o" hidden="1">{#N/A,#N/A,TRUE,"HOJA 1 (P)";#N/A,#N/A,TRUE,"HOJA 2 (P)";#N/A,#N/A,TRUE,"HOJA 3 (P)";#N/A,#N/A,TRUE,"HOJA 4 (P)"}</definedName>
    <definedName name="obed" localSheetId="8" hidden="1">{#N/A,#N/A,TRUE,"HOJA 1 (P)";#N/A,#N/A,TRUE,"HOJA 2 (P)";#N/A,#N/A,TRUE,"HOJA 3 (P)";#N/A,#N/A,TRUE,"HOJA 4 (P)"}</definedName>
    <definedName name="obed" localSheetId="6" hidden="1">{#N/A,#N/A,TRUE,"HOJA 1 (P)";#N/A,#N/A,TRUE,"HOJA 2 (P)";#N/A,#N/A,TRUE,"HOJA 3 (P)";#N/A,#N/A,TRUE,"HOJA 4 (P)"}</definedName>
    <definedName name="obed" localSheetId="7" hidden="1">{#N/A,#N/A,TRUE,"HOJA 1 (P)";#N/A,#N/A,TRUE,"HOJA 2 (P)";#N/A,#N/A,TRUE,"HOJA 3 (P)";#N/A,#N/A,TRUE,"HOJA 4 (P)"}</definedName>
    <definedName name="obed" hidden="1">{#N/A,#N/A,TRUE,"HOJA 1 (P)";#N/A,#N/A,TRUE,"HOJA 2 (P)";#N/A,#N/A,TRUE,"HOJA 3 (P)";#N/A,#N/A,TRUE,"HOJA 4 (P)"}</definedName>
    <definedName name="OBFlatFile_sheet0" hidden="1">"'OBFlatFile'
0
"</definedName>
    <definedName name="OBFlatFile_sheets" hidden="1">1</definedName>
    <definedName name="ohlala" hidden="1">{"Detailed",#N/A,FALSE,"Schedule4"}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o" localSheetId="8" hidden="1">{#N/A,#N/A,FALSE,"Aging Summary";#N/A,#N/A,FALSE,"Ratio Analysis";#N/A,#N/A,FALSE,"Test 120 Day Accts";#N/A,#N/A,FALSE,"Tickmarks"}</definedName>
    <definedName name="oo" localSheetId="6" hidden="1">{#N/A,#N/A,FALSE,"Aging Summary";#N/A,#N/A,FALSE,"Ratio Analysis";#N/A,#N/A,FALSE,"Test 120 Day Accts";#N/A,#N/A,FALSE,"Tickmarks"}</definedName>
    <definedName name="oo" localSheetId="7" hidden="1">{#N/A,#N/A,FALSE,"Aging Summary";#N/A,#N/A,FALSE,"Ratio Analysis";#N/A,#N/A,FALSE,"Test 120 Day Accts";#N/A,#N/A,FALSE,"Tickmarks"}</definedName>
    <definedName name="oo" hidden="1">{#N/A,#N/A,FALSE,"Aging Summary";#N/A,#N/A,FALSE,"Ratio Analysis";#N/A,#N/A,FALSE,"Test 120 Day Accts";#N/A,#N/A,FALSE,"Tickmarks"}</definedName>
    <definedName name="OP" hidden="1">{#N/A,#N/A,FALSE,"Operations";#N/A,#N/A,FALSE,"Financials"}</definedName>
    <definedName name="OrderTable" hidden="1">#REF!</definedName>
    <definedName name="OTRO_Control" localSheetId="8" hidden="1">{"'BALANCE GENERAL'!$A$1:$M$73","'EDO RESULTADOS'!$A$1:$K$45","'EDO VARIACIONES'!$A$1:$L$45","'EDO CAMBIOS'!$A$1:$I$55"}</definedName>
    <definedName name="OTRO_Control" localSheetId="6" hidden="1">{"'BALANCE GENERAL'!$A$1:$M$73","'EDO RESULTADOS'!$A$1:$K$45","'EDO VARIACIONES'!$A$1:$L$45","'EDO CAMBIOS'!$A$1:$I$55"}</definedName>
    <definedName name="OTRO_Control" localSheetId="7" hidden="1">{"'BALANCE GENERAL'!$A$1:$M$73","'EDO RESULTADOS'!$A$1:$K$45","'EDO VARIACIONES'!$A$1:$L$45","'EDO CAMBIOS'!$A$1:$I$55"}</definedName>
    <definedName name="OTRO_Control" hidden="1">{"'BALANCE GENERAL'!$A$1:$M$73","'EDO RESULTADOS'!$A$1:$K$45","'EDO VARIACIONES'!$A$1:$L$45","'EDO CAMBIOS'!$A$1:$I$55"}</definedName>
    <definedName name="outside" hidden="1">#REF!</definedName>
    <definedName name="outyears" hidden="1">#REF!</definedName>
    <definedName name="Overview_BL1" hidden="1">{#N/A,#N/A,FALSE,"Introduction";#N/A,#N/A,FALSE,"ALL BL";#N/A,#N/A,FALSE,"BL1";#N/A,#N/A,FALSE,"01ACRI";#N/A,#N/A,FALSE,"01Amino";#N/A,#N/A,FALSE,"01CEDA";#N/A,#N/A,FALSE,"01COAK";#N/A,#N/A,FALSE,"01EPOX";#N/A,#N/A,FALSE,"01MECO";#N/A,#N/A,FALSE,"01OTRE";#N/A,#N/A,FALSE,"01PHCO";#N/A,#N/A,FALSE,"01PUDI";#N/A,#N/A,FALSE,"01UPCO";#N/A,#N/A,FALSE,"01UVRE";#N/A,#N/A,FALSE,"01WBAK";#N/A,#N/A,FALSE,"BL2";#N/A,#N/A,FALSE,"BL3";#N/A,#N/A,FALSE,"03MESP";#N/A,#N/A,FALSE,"03METE";#N/A,#N/A,FALSE,"03PHTE";#N/A,#N/A,FALSE,"03UPTE";#N/A,#N/A,FALSE,"03SOI";#N/A,#N/A,FALSE,"BL4";#N/A,#N/A,FALSE,"04ADDI";#N/A,#N/A,FALSE,"04SOI"}</definedName>
    <definedName name="page\x2dtotal">#REF!</definedName>
    <definedName name="page\x2dtotal\x2dmaster0">#REF!</definedName>
    <definedName name="PAGE1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eanut" hidden="1">#REF!</definedName>
    <definedName name="pepe" hidden="1">#REF!</definedName>
    <definedName name="pla" hidden="1">{"Chart",#N/A,FALSE,"MATL";"Chart",#N/A,FALSE,"LAB";"Chart",#N/A,FALSE,"EXP";"Chart",#N/A,FALSE,"QUAL";"Chart",#N/A,FALSE,"DEL";"Chart",#N/A,FALSE,"STK";"Chart",#N/A,FALSE,"hr";"Chart",#N/A,FALSE,"lead"}</definedName>
    <definedName name="PlanAP_sheet0" hidden="1">"'Reports $_Global_Month'
0
"</definedName>
    <definedName name="PlanAP_sheets" hidden="1">1</definedName>
    <definedName name="PlanEU_sheet0" hidden="1">"'Reports $_Global_Month'
0
"</definedName>
    <definedName name="PlanEU_sheets" hidden="1">1</definedName>
    <definedName name="PlanMAP__sheet0" hidden="1">"'Reports $_by Market'
0
"</definedName>
    <definedName name="PlanMAP__sheets" hidden="1">1</definedName>
    <definedName name="PlanMAP_sheet0" hidden="1">"'Reports Units_by Market '
0
"</definedName>
    <definedName name="PlanMAP_sheets" hidden="1">1</definedName>
    <definedName name="PlanMEU__sheet0" hidden="1">"'Reports $_by Market'
0
"</definedName>
    <definedName name="PlanMEU__sheets" hidden="1">1</definedName>
    <definedName name="PlanMEU_sheet0" hidden="1">"'Reports Units_by Market '
0
"</definedName>
    <definedName name="PlanMEU_sheets" hidden="1">1</definedName>
    <definedName name="PlanMNA__sheet0" hidden="1">"'Reports $_by Market'
0
"</definedName>
    <definedName name="PlanMNA__sheets" hidden="1">1</definedName>
    <definedName name="PlanMNA_sheet0" hidden="1">"'Reports Units_by Market '
0
"</definedName>
    <definedName name="PlanMNA_sheets" hidden="1">1</definedName>
    <definedName name="PlanMSA__sheet0" hidden="1">"'Reports $_by Market'
0
"</definedName>
    <definedName name="PlanMSA__sheets" hidden="1">1</definedName>
    <definedName name="PlanMSA_sheet0" hidden="1">"'Reports Units_by Market '
0
"</definedName>
    <definedName name="PlanMSA_sheets" hidden="1">1</definedName>
    <definedName name="PlanNA_sheet0" hidden="1">"'Reports $_Global_Month'
0
"</definedName>
    <definedName name="PlanNA_sheets" hidden="1">1</definedName>
    <definedName name="PlanSA_sheet0" hidden="1">"'Reports $_Global_Month'
0
"</definedName>
    <definedName name="PlanSA_sheets" hidden="1">1</definedName>
    <definedName name="pleasestop" hidden="1">#REF!</definedName>
    <definedName name="po" hidden="1">{#N/A,#N/A,FALSE,"Calc";#N/A,#N/A,FALSE,"Sensitivity";#N/A,#N/A,FALSE,"LT Earn.Dil.";#N/A,#N/A,FALSE,"Dil. AVP"}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ssible" hidden="1">{"works expense",#N/A,FALSE,"WORKS EXPENSE"}</definedName>
    <definedName name="print4" hidden="1">{#N/A,#N/A,FALSE,"Operations";#N/A,#N/A,FALSE,"Financials"}</definedName>
    <definedName name="ProdForm" hidden="1">#REF!</definedName>
    <definedName name="Product" hidden="1">#REF!</definedName>
    <definedName name="prolinks_03254d08da4f48ff955ff3fe3b15bea0" hidden="1">#REF!</definedName>
    <definedName name="prolinks_051df0cec9b240fe8f67d121518e5969" hidden="1">#REF!</definedName>
    <definedName name="prolinks_0900a566aadc47f19aac3e17ce0fa35e" hidden="1">#REF!</definedName>
    <definedName name="prolinks_163ff32388fa4442ab675f25948804d0" hidden="1">#REF!</definedName>
    <definedName name="prolinks_19af6a3e6251470284c6a1ba50453a42" hidden="1">#REF!</definedName>
    <definedName name="prolinks_1bedd05174044d8eb1f28b339c340da6" hidden="1">#REF!</definedName>
    <definedName name="prolinks_2405bcd5b35d4f1bb5a23fa6fb0db433" hidden="1">#REF!</definedName>
    <definedName name="prolinks_2664d2552f3241248b30d533422a8eb1" hidden="1">#REF!</definedName>
    <definedName name="prolinks_2903fb7e3e6f47d5a8725b278b8e5467" hidden="1">#REF!</definedName>
    <definedName name="prolinks_585561e3917b4a4795ccfefeee5109a9" hidden="1">#REF!</definedName>
    <definedName name="prolinks_66a54cfdf4e6422c9f9124b90546a1e5" hidden="1">#REF!</definedName>
    <definedName name="prolinks_6773fdfa04ef45a8ae1dd31cceef6ff0" hidden="1">#REF!</definedName>
    <definedName name="prolinks_6bbcb2fd17e3451ba5e14a7599107aac" hidden="1">#REF!</definedName>
    <definedName name="prolinks_72d29dfe414246eb970c8523586f2557" hidden="1">#REF!</definedName>
    <definedName name="prolinks_7f06f844388445af8c1be3c6e67652b3" hidden="1">#REF!</definedName>
    <definedName name="prolinks_93c4401dbfb44970b99026ec943fbc4f" hidden="1">#REF!</definedName>
    <definedName name="prolinks_95063f8f0af54589af544ef1e53494c4" hidden="1">#REF!</definedName>
    <definedName name="prolinks_a1ea16e10413450aad79db76e177f3b1" hidden="1">#REF!</definedName>
    <definedName name="prolinks_a323238486e445c192c1243d74437fa4" hidden="1">#REF!</definedName>
    <definedName name="prolinks_ae605e38045a468eadb42bf504e22ebe" hidden="1">#REF!</definedName>
    <definedName name="prolinks_b939842b770e4ebe9248de183334400f" hidden="1">#REF!</definedName>
    <definedName name="prolinks_d7cedf37b7924e17906823abc99ace0f" hidden="1">#REF!</definedName>
    <definedName name="prolinks_e496d690a549412990f220e11cc9d470" hidden="1">#REF!</definedName>
    <definedName name="prolinks_e9958b5a42c544eca3231208420afacc" hidden="1">#REF!</definedName>
    <definedName name="prolinks_f597baf7acb24d1dbe44ff9b7bf38453" hidden="1">#REF!</definedName>
    <definedName name="prolinks_fd8b326a0232482a82835432212b10d4" hidden="1">#REF!</definedName>
    <definedName name="prout" hidden="1">{"comp1",#N/A,FALSE,"COMPS";"footnotes",#N/A,FALSE,"COMPS"}</definedName>
    <definedName name="PUB_UserID" hidden="1">"MAYERX"</definedName>
    <definedName name="qq" hidden="1">{#N/A,#N/A,FALSE,"CBE";#N/A,#N/A,FALSE,"SWK"}</definedName>
    <definedName name="QRE" localSheetId="8" hidden="1">{#N/A,#N/A,TRUE,"HOJA 1 (P)";#N/A,#N/A,TRUE,"HOJA 2 (P)";#N/A,#N/A,TRUE,"HOJA 3 (P)";#N/A,#N/A,TRUE,"HOJA 4 (P)"}</definedName>
    <definedName name="QRE" localSheetId="6" hidden="1">{#N/A,#N/A,TRUE,"HOJA 1 (P)";#N/A,#N/A,TRUE,"HOJA 2 (P)";#N/A,#N/A,TRUE,"HOJA 3 (P)";#N/A,#N/A,TRUE,"HOJA 4 (P)"}</definedName>
    <definedName name="QRE" localSheetId="7" hidden="1">{#N/A,#N/A,TRUE,"HOJA 1 (P)";#N/A,#N/A,TRUE,"HOJA 2 (P)";#N/A,#N/A,TRUE,"HOJA 3 (P)";#N/A,#N/A,TRUE,"HOJA 4 (P)"}</definedName>
    <definedName name="QRE" hidden="1">{#N/A,#N/A,TRUE,"HOJA 1 (P)";#N/A,#N/A,TRUE,"HOJA 2 (P)";#N/A,#N/A,TRUE,"HOJA 3 (P)";#N/A,#N/A,TRUE,"HOJA 4 (P)"}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dio" hidden="1">#REF!</definedName>
    <definedName name="raj" hidden="1">{"'0103'!$A$455:$O$585"}</definedName>
    <definedName name="RCArea" hidden="1">#REF!</definedName>
    <definedName name="recon_act">#REF!</definedName>
    <definedName name="Regions_MarketsDesc_sheet0" hidden="1">"'Regions&amp;MarketsDesc'
0
"</definedName>
    <definedName name="Regions_MarketsDesc_sheets" hidden="1">1</definedName>
    <definedName name="RegionsAndMarketsDescriptions.sqx_sheet0" hidden="1">"'Regions&amp;MarketsDesc'
0
"</definedName>
    <definedName name="RegionsAndMarketsDescriptions.sqx_sheets" hidden="1">1</definedName>
    <definedName name="REPORT1">#REF!</definedName>
    <definedName name="REPORT2">#REF!</definedName>
    <definedName name="REPORT3">#REF!</definedName>
    <definedName name="rev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eview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rgrg" hidden="1">{"profit statement",#N/A,FALSE,"P&amp;L STATEMENT"}</definedName>
    <definedName name="rgrsdg" hidden="1">{"manpower",#N/A,FALSE,"MANPOWER_PAYROLL"}</definedName>
    <definedName name="rgrsdgrsed" hidden="1">{"sga expense",#N/A,FALSE,"S,G&amp;A EXP"}</definedName>
    <definedName name="rgrsdgsr" hidden="1">{"sga expense",#N/A,FALSE,"S,G&amp;A EXP"}</definedName>
    <definedName name="rgrsegsre" hidden="1">{"capital",#N/A,FALSE,"CAPITAL_DEP'N"}</definedName>
    <definedName name="rgrsg" hidden="1">{"profit statement",#N/A,FALSE,"P&amp;L STATEMENT"}</definedName>
    <definedName name="rgrsgr" hidden="1">{"sga expense",#N/A,FALSE,"S,G&amp;A EXP"}</definedName>
    <definedName name="rgrsgrd" hidden="1">{"works expense",#N/A,FALSE,"WORKS EXPENSE"}</definedName>
    <definedName name="rgsdrg" hidden="1">{"sga expense",#N/A,FALSE,"S,G&amp;A EXP"}</definedName>
    <definedName name="rgsrdg" hidden="1">{"product cost",#N/A,FALSE,"P&amp;L STATEMENT"}</definedName>
    <definedName name="rgsredg" hidden="1">{"sga expense",#N/A,FALSE,"S,G&amp;A EXP"}</definedName>
    <definedName name="rgsrg" hidden="1">{"manpower",#N/A,FALSE,"MANPOWER_PAYROLL"}</definedName>
    <definedName name="riley" hidden="1">#REF!</definedName>
    <definedName name="ROYALTY">#REF!</definedName>
    <definedName name="rr" hidden="1">{"capital",#N/A,FALSE,"CAPITAL_DEP'N"}</definedName>
    <definedName name="rta" hidden="1">{#N/A,#N/A,FALSE,"Assumptions";#N/A,#N/A,FALSE,"Volumes";#N/A,#N/A,FALSE,"Pricing";#N/A,#N/A,FALSE,"Variable Cost";#N/A,#N/A,FALSE,"Investment";#N/A,#N/A,FALSE,"Profitability";#N/A,#N/A,FALSE,"Business Comparison"}</definedName>
    <definedName name="rte" hidden="1">{#N/A,#N/A,FALSE,"Assumptions";#N/A,#N/A,FALSE,"Volumes";#N/A,#N/A,FALSE,"Pricing";#N/A,#N/A,FALSE,"Variable Cost";#N/A,#N/A,FALSE,"Investment";#N/A,#N/A,FALSE,"Profitability";#N/A,#N/A,FALSE,"Business Comparison"}</definedName>
    <definedName name="rty" hidden="1">{#N/A,#N/A,TRUE,"Pro Forma";#N/A,#N/A,TRUE,"PF_Bal";#N/A,#N/A,TRUE,"PF_INC";#N/A,#N/A,TRUE,"CBE";#N/A,#N/A,TRUE,"SWK"}</definedName>
    <definedName name="Rwvu.Sommaire." hidden="1">#REF!,#REF!,#REF!,#REF!,#REF!</definedName>
    <definedName name="ry" hidden="1">{"Detailed",#N/A,FALSE,"Schedule4"}</definedName>
    <definedName name="sa" hidden="1">{#N/A,#N/A,TRUE,"Cover  Page";#N/A,#N/A,TRUE,"DAILY  RATE";#N/A,#N/A,TRUE,"Comprod";#N/A,#N/A,TRUE,"Monthly Rate ´98";#N/A,#N/A,TRUE,"Monthly Prod ´98";#N/A,#N/A,TRUE,"ENDDIA98";#N/A,#N/A,TRUE,"Calendar Year  1998";#N/A,#N/A,TRUE,"VENEZUELA";#N/A,#N/A,TRUE,"COLOMBIA";#N/A,#N/A,TRUE,"ECUADOR"}</definedName>
    <definedName name="saf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SalesAP_sheet0" hidden="1">"'Reports Units_Global_Month '
0
"</definedName>
    <definedName name="SalesAP_sheets" hidden="1">1</definedName>
    <definedName name="SalesEU_sheet0" hidden="1">"'Reports Units_Global_Month '
0
"</definedName>
    <definedName name="SalesEU_sheets" hidden="1">1</definedName>
    <definedName name="SalesMAP_sheet0" hidden="1">"'Reports Units_by Market '
0
"</definedName>
    <definedName name="SalesMAP_sheets" hidden="1">1</definedName>
    <definedName name="SalesNA_sheet0" hidden="1">"'Reports Units_Global_Month '
0
"</definedName>
    <definedName name="SalesNA_sheets" hidden="1">1</definedName>
    <definedName name="SalesSA_sheet0" hidden="1">"'Reports Units_Global_Month '
0
"</definedName>
    <definedName name="SalesSA_sheets" hidden="1">1</definedName>
    <definedName name="sand" hidden="1">{"profit statement",#N/A,FALSE,"P&amp;L STATEMENT"}</definedName>
    <definedName name="SASAA" hidden="1">{#N/A,#N/A,FALSE,"Assumptions";#N/A,#N/A,FALSE,"Volumes";#N/A,#N/A,FALSE,"Pricing";#N/A,#N/A,FALSE,"Variable Cost";#N/A,#N/A,FALSE,"Investment";#N/A,#N/A,FALSE,"Profitability";#N/A,#N/A,FALSE,"Business Comparison"}</definedName>
    <definedName name="sasas">#REF!</definedName>
    <definedName name="sb" hidden="1">{"capital",#N/A,FALSE,"CAPITAL_DEP'N"}</definedName>
    <definedName name="SCALING">#REF!</definedName>
    <definedName name="scg" hidden="1">{"profit statement",#N/A,FALSE,"P&amp;L STATEMENT"}</definedName>
    <definedName name="sd" hidden="1">{"Chart",#N/A,FALSE,"MATL";"Chart",#N/A,FALSE,"LAB";"Chart",#N/A,FALSE,"EXP";"Chart",#N/A,FALSE,"QUAL";"Chart",#N/A,FALSE,"DEL";"Chart",#N/A,FALSE,"STK";"Chart",#N/A,FALSE,"hr";"Chart",#N/A,FALSE,"lead"}</definedName>
    <definedName name="sdf" hidden="1">{#N/A,#N/A,FALSE,"Calc";#N/A,#N/A,FALSE,"Sensitivity";#N/A,#N/A,FALSE,"LT Earn.Dil.";#N/A,#N/A,FALSE,"Dil. AVP"}</definedName>
    <definedName name="SDFDF">#REF!</definedName>
    <definedName name="sdfgddfgfh" hidden="1">{#N/A,#N/A,TRUE,"Cover  Page";#N/A,#N/A,TRUE,"DAILY  RATE";#N/A,#N/A,TRUE,"Comprod";#N/A,#N/A,TRUE,"Monthly Rate ´98";#N/A,#N/A,TRUE,"Monthly Prod ´98";#N/A,#N/A,TRUE,"ENDDIA98";#N/A,#N/A,TRUE,"Calendar Year  1998";#N/A,#N/A,TRUE,"VENEZUELA";#N/A,#N/A,TRUE,"COLOMBIA";#N/A,#N/A,TRUE,"ECUADOR"}</definedName>
    <definedName name="sdfgrg" hidden="1">{"profit statement",#N/A,FALSE,"P&amp;L STATEMENT"}</definedName>
    <definedName name="sdfgs5rtsdrgsdfgre" hidden="1">{"sga expense",#N/A,FALSE,"S,G&amp;A EXP"}</definedName>
    <definedName name="sdfgsdfg" hidden="1">{"profit statement",#N/A,FALSE,"P&amp;L STATEMENT"}</definedName>
    <definedName name="sdfgsdftrg" hidden="1">{"works expense",#N/A,FALSE,"WORKS EXPENSE"}</definedName>
    <definedName name="sdfgsdrg" hidden="1">{"capital",#N/A,FALSE,"CAPITAL_DEP'N"}</definedName>
    <definedName name="sdfgsf" hidden="1">{"works expense",#N/A,FALSE,"WORKS EXPENSE"}</definedName>
    <definedName name="sdfgsrgr" hidden="1">{"profit statement",#N/A,FALSE,"P&amp;L STATEMENT"}</definedName>
    <definedName name="sdfsd" hidden="1">{"sga expense",#N/A,FALSE,"S,G&amp;A EXP"}</definedName>
    <definedName name="sdfsdf" hidden="1">{"Summary",#N/A,FALSE,"Schedule4"}</definedName>
    <definedName name="sdg" hidden="1">{"capital",#N/A,FALSE,"CAPITAL_DEP'N"}</definedName>
    <definedName name="sdgdfghfhgfjhgfjhjjjg" hidden="1">{"general",#N/A,FALSE,"Assumptions"}</definedName>
    <definedName name="sdgrf" hidden="1">{"works expense",#N/A,FALSE,"WORKS EXPENSE"}</definedName>
    <definedName name="sdgrgr" hidden="1">{"profit statement",#N/A,FALSE,"P&amp;L STATEMENT"}</definedName>
    <definedName name="sdrgsrdgsr" hidden="1">{"profit statement",#N/A,FALSE,"P&amp;L STATEMENT"}</definedName>
    <definedName name="sdrgsrs" hidden="1">{"works expense",#N/A,FALSE,"WORKS EXPENSE"}</definedName>
    <definedName name="sds" hidden="1">{#N/A,#N/A,TRUE,"ProFormaProfit";#N/A,#N/A,TRUE,"ProFormaCash";#N/A,#N/A,TRUE,"Depreciation";#N/A,#N/A,TRUE,"Assets";#N/A,#N/A,TRUE,"Revenue";#N/A,#N/A,TRUE,"EstimatedPurchase"}</definedName>
    <definedName name="se" hidden="1">{"consolidated",#N/A,FALSE,"Sheet1";"cms",#N/A,FALSE,"Sheet1";"fse",#N/A,FALSE,"Sheet1"}</definedName>
    <definedName name="Select1_sheet0" hidden="1">"'START'
0
"</definedName>
    <definedName name="Select1_sheets" hidden="1">1</definedName>
    <definedName name="sencount" hidden="1">1</definedName>
    <definedName name="seyrtrt">#REF!</definedName>
    <definedName name="sfdg" hidden="1">{"manpower",#N/A,FALSE,"MANPOWER_PAYROLL"}</definedName>
    <definedName name="sfg" hidden="1">{#N/A,#N/A,FALSE,"SGP";#N/A,#N/A,FALSE,"SGI";#N/A,#N/A,FALSE,"SGC";#N/A,#N/A,FALSE,"SGS";#N/A,#N/A,FALSE,"SGB"}</definedName>
    <definedName name="sfg_1" hidden="1">{#N/A,#N/A,FALSE,"SGP";#N/A,#N/A,FALSE,"SGI";#N/A,#N/A,FALSE,"SGC";#N/A,#N/A,FALSE,"SGS";#N/A,#N/A,FALSE,"SGB"}</definedName>
    <definedName name="sfgf" hidden="1">{"product cost",#N/A,FALSE,"P&amp;L STATEMENT"}</definedName>
    <definedName name="sfgfds" hidden="1">{"product cost",#N/A,FALSE,"P&amp;L STATEMENT"}</definedName>
    <definedName name="sfgr" hidden="1">{"profit statement",#N/A,FALSE,"P&amp;L STATEMENT"}</definedName>
    <definedName name="sfgs" hidden="1">{"manpower",#N/A,FALSE,"MANPOWER_PAYROLL"}</definedName>
    <definedName name="sfgsdfg" hidden="1">{"product cost",#N/A,FALSE,"P&amp;L STATEMENT"}</definedName>
    <definedName name="sfgsrdg" hidden="1">{"capital",#N/A,FALSE,"CAPITAL_DEP'N"}</definedName>
    <definedName name="sg" hidden="1">{"capital",#N/A,FALSE,"CAPITAL_DEP'N"}</definedName>
    <definedName name="sgdsfg" hidden="1">{"capital",#N/A,FALSE,"CAPITAL_DEP'N"}</definedName>
    <definedName name="sgfsf" hidden="1">{"manpower",#N/A,FALSE,"MANPOWER_PAYROLL"}</definedName>
    <definedName name="share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sidebar" hidden="1">#REF!</definedName>
    <definedName name="skdjfh" hidden="1">{#N/A,#N/A,FALSE,"Assumptions";#N/A,#N/A,FALSE,"Volumes";#N/A,#N/A,FALSE,"Pricing";#N/A,#N/A,FALSE,"Variable Cost";#N/A,#N/A,FALSE,"Investment";#N/A,#N/A,FALSE,"Profitability";#N/A,#N/A,FALSE,"Business Comparison"}</definedName>
    <definedName name="skdjfh1" hidden="1">{#N/A,#N/A,FALSE,"Assumptions";#N/A,#N/A,FALSE,"Volumes";#N/A,#N/A,FALSE,"Pricing";#N/A,#N/A,FALSE,"Variable Cost";#N/A,#N/A,FALSE,"Investment";#N/A,#N/A,FALSE,"Profitability";#N/A,#N/A,FALSE,"Business Comparison"}</definedName>
    <definedName name="so" hidden="1">{"works expense",#N/A,FALSE,"WORKS EXPENSE"}</definedName>
    <definedName name="Soldadura" hidden="1">{#N/A,#N/A,TRUE,"Cover  Page";#N/A,#N/A,TRUE,"DAILY  RATE";#N/A,#N/A,TRUE,"Comprod";#N/A,#N/A,TRUE,"Monthly Rate ´98";#N/A,#N/A,TRUE,"Monthly Prod ´98";#N/A,#N/A,TRUE,"ENDDIA98";#N/A,#N/A,TRUE,"Calendar Year  1998";#N/A,#N/A,TRUE,"VENEZUELA";#N/A,#N/A,TRUE,"COLOMBIA";#N/A,#N/A,TRUE,"ECUADOR"}</definedName>
    <definedName name="SpecialPrice" hidden="1">#REF!</definedName>
    <definedName name="srdgsrdg" hidden="1">{"works expense",#N/A,FALSE,"WORKS EXPENSE"}</definedName>
    <definedName name="srtgdrgr" hidden="1">{"sga expense",#N/A,FALSE,"S,G&amp;A EXP"}</definedName>
    <definedName name="ss" hidden="1">{"away stand alones",#N/A,FALSE,"Target"}</definedName>
    <definedName name="sta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tartmarketdescription_sheet0" hidden="1">"'startmarketdescription'
0
"</definedName>
    <definedName name="startmarketdescription_sheets" hidden="1">1</definedName>
    <definedName name="static" hidden="1">#REF!</definedName>
    <definedName name="strange" localSheetId="8" hidden="1">{"Cons",#N/A,FALSE,"Balance Sheet";"AL",#N/A,FALSE,"Balance Sheet";"Hldgs",#N/A,FALSE,"Balance Sheet"}</definedName>
    <definedName name="strange" localSheetId="6" hidden="1">{"Cons",#N/A,FALSE,"Balance Sheet";"AL",#N/A,FALSE,"Balance Sheet";"Hldgs",#N/A,FALSE,"Balance Sheet"}</definedName>
    <definedName name="strange" localSheetId="7" hidden="1">{"Cons",#N/A,FALSE,"Balance Sheet";"AL",#N/A,FALSE,"Balance Sheet";"Hldgs",#N/A,FALSE,"Balance Sheet"}</definedName>
    <definedName name="strange" hidden="1">{"Cons",#N/A,FALSE,"Balance Sheet";"AL",#N/A,FALSE,"Balance Sheet";"Hldgs",#N/A,FALSE,"Balance Sheet"}</definedName>
    <definedName name="stupdi" localSheetId="8" hidden="1">{"Cons",#N/A,FALSE,"Balance Sheet";"AL",#N/A,FALSE,"Balance Sheet";"Hldgs",#N/A,FALSE,"Balance Sheet"}</definedName>
    <definedName name="stupdi" localSheetId="6" hidden="1">{"Cons",#N/A,FALSE,"Balance Sheet";"AL",#N/A,FALSE,"Balance Sheet";"Hldgs",#N/A,FALSE,"Balance Sheet"}</definedName>
    <definedName name="stupdi" localSheetId="7" hidden="1">{"Cons",#N/A,FALSE,"Balance Sheet";"AL",#N/A,FALSE,"Balance Sheet";"Hldgs",#N/A,FALSE,"Balance Sheet"}</definedName>
    <definedName name="stupdi" hidden="1">{"Cons",#N/A,FALSE,"Balance Sheet";"AL",#N/A,FALSE,"Balance Sheet";"Hldgs",#N/A,FALSE,"Balance Sheet"}</definedName>
    <definedName name="stupid" localSheetId="8" hidden="1">{"ConsL",#N/A,FALSE,"Balance Sheet (Lenders)";"ALL",#N/A,FALSE,"Balance Sheet (Lenders)";"CPTL",#N/A,FALSE,"Balance Sheet (Lenders)"}</definedName>
    <definedName name="stupid" localSheetId="6" hidden="1">{"ConsL",#N/A,FALSE,"Balance Sheet (Lenders)";"ALL",#N/A,FALSE,"Balance Sheet (Lenders)";"CPTL",#N/A,FALSE,"Balance Sheet (Lenders)"}</definedName>
    <definedName name="stupid" localSheetId="7" hidden="1">{"ConsL",#N/A,FALSE,"Balance Sheet (Lenders)";"ALL",#N/A,FALSE,"Balance Sheet (Lenders)";"CPTL",#N/A,FALSE,"Balance Sheet (Lenders)"}</definedName>
    <definedName name="stupid" hidden="1">{"ConsL",#N/A,FALSE,"Balance Sheet (Lenders)";"ALL",#N/A,FALSE,"Balance Sheet (Lenders)";"CPTL",#N/A,FALSE,"Balance Sheet (Lenders)"}</definedName>
    <definedName name="Sumário" hidden="1">{#N/A,#N/A,FALSE,"SGP";#N/A,#N/A,FALSE,"SGI";#N/A,#N/A,FALSE,"SGC";#N/A,#N/A,FALSE,"SGS";#N/A,#N/A,FALSE,"SGB"}</definedName>
    <definedName name="Sumário_1" hidden="1">{#N/A,#N/A,FALSE,"SGP";#N/A,#N/A,FALSE,"SGI";#N/A,#N/A,FALSE,"SGC";#N/A,#N/A,FALSE,"SGS";#N/A,#N/A,FALSE,"SGB"}</definedName>
    <definedName name="sunshine" hidden="1">#REF!</definedName>
    <definedName name="Swvu.Détails." hidden="1">#REF!</definedName>
    <definedName name="Swvu.Sommaire." hidden="1">#REF!,#REF!,#REF!,#REF!,#REF!,#REF!</definedName>
    <definedName name="t" hidden="1">{"works expense",#N/A,FALSE,"WORKS EXPENSE"}</definedName>
    <definedName name="Tables" hidden="1">{"sales",#N/A,FALSE,"Sales";"sales existing",#N/A,FALSE,"Sales";"sales rd1",#N/A,FALSE,"Sales";"sales rd2",#N/A,FALSE,"Sales"}</definedName>
    <definedName name="tailend" hidden="1">#REF!</definedName>
    <definedName name="talking" hidden="1">#REF!</definedName>
    <definedName name="tbd" hidden="1">#REF!</definedName>
    <definedName name="tbl_ProdInfo" hidden="1">#REF!</definedName>
    <definedName name="television" hidden="1">#REF!</definedName>
    <definedName name="test" hidden="1">{#N/A,#N/A,TRUE,"Pro Forma";#N/A,#N/A,TRUE,"PF_Bal";#N/A,#N/A,TRUE,"PF_INC";#N/A,#N/A,TRUE,"CBE";#N/A,#N/A,TRUE,"SWK"}</definedName>
    <definedName name="teste1" hidden="1">{#N/A,#N/A,FALSE,"SGP";#N/A,#N/A,FALSE,"SGI";#N/A,#N/A,FALSE,"SGC";#N/A,#N/A,FALSE,"SGS";#N/A,#N/A,FALSE,"SGB"}</definedName>
    <definedName name="teste3" hidden="1">{#N/A,#N/A,FALSE,"SGP";#N/A,#N/A,FALSE,"SGI";#N/A,#N/A,FALSE,"SGC";#N/A,#N/A,FALSE,"SGS";#N/A,#N/A,FALSE,"SGB"}</definedName>
    <definedName name="testmarkets_sheet0" hidden="1">"'testmarkets'
0
"</definedName>
    <definedName name="testmarkets_sheets" hidden="1">1</definedName>
    <definedName name="the" hidden="1">{"years",#N/A,FALSE,"UDR_INC";"9899qtrs",#N/A,FALSE,"UDR_INC";"9798qtrs",#N/A,FALSE,"UDR_INC"}</definedName>
    <definedName name="thee" hidden="1">{"years",#N/A,FALSE,"UDR_INC";"9899qtrs",#N/A,FALSE,"UDR_INC";"9798qtrs",#N/A,FALSE,"UDR_INC"}</definedName>
    <definedName name="theend" hidden="1">#REF!</definedName>
    <definedName name="tin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ired" hidden="1">#REF!</definedName>
    <definedName name="TLA.015" hidden="1">#REF!</definedName>
    <definedName name="TLA.035" hidden="1">#REF!</definedName>
    <definedName name="today" hidden="1">#REF!</definedName>
    <definedName name="TotalAP1_sheet0" hidden="1">"'Reports $_Global_Month'
0
"</definedName>
    <definedName name="TotalAP1_sheets" hidden="1">1</definedName>
    <definedName name="TotalAP1Amount_sheet0" hidden="1">"'Reports $_Global_Month'
0
"</definedName>
    <definedName name="TotalAP1Amount_sheets" hidden="1">1</definedName>
    <definedName name="TotalAP2_sheet0" hidden="1">"'Reports Units_Global_Month '
0
"</definedName>
    <definedName name="TotalAP2_sheets" hidden="1">1</definedName>
    <definedName name="TotalAPDeltaF1F2.sqx_sheet0" hidden="1">"'Reports Units_Global_Month '
0
"</definedName>
    <definedName name="TotalAPDeltaF1F2.sqx_sheets" hidden="1">1</definedName>
    <definedName name="TotalAPDeltaF1F2amount_sheet0" hidden="1">"'Reports $_Global_Month'
0
"</definedName>
    <definedName name="TotalAPDeltaF1F2amount_sheets" hidden="1">1</definedName>
    <definedName name="TotalAPF1.sqx_sheet0" hidden="1">"'Reports Units_Global_Month '
0
"</definedName>
    <definedName name="TotalAPF1.sqx_sheets" hidden="1">1</definedName>
    <definedName name="TotalAPF1amount_sheet0" hidden="1">"'Reports $_Global_Month'
0
"</definedName>
    <definedName name="TotalAPF1amount_sheets" hidden="1">1</definedName>
    <definedName name="TotalAPF2.sqx_sheet0" hidden="1">"'Reports Units_Global_Month '
0
"</definedName>
    <definedName name="TotalAPF2.sqx_sheets" hidden="1">1</definedName>
    <definedName name="TotalAPF2amount_sheet0" hidden="1">"'Reports $_Global_Month'
0
"</definedName>
    <definedName name="TotalAPF2amount_sheets" hidden="1">1</definedName>
    <definedName name="TotalAPPlan.sqx_sheet0" hidden="1">"'Reports Units_Global_Month '
0
"</definedName>
    <definedName name="TotalAPPlan.sqx_sheets" hidden="1">1</definedName>
    <definedName name="TotalAPPlanamount_sheet0" hidden="1">"'Reports $_Global_Month'
0
"</definedName>
    <definedName name="TotalAPPlanamount_sheets" hidden="1">1</definedName>
    <definedName name="TotalAPPlantest_sheet0" hidden="1">"'Reports Units_Global_Month test'
0
"</definedName>
    <definedName name="TotalAPPlantest_sheets" hidden="1">1</definedName>
    <definedName name="TotalAPSoldamount_sheet0" hidden="1">"'Reports $_Global_Month'
0
"</definedName>
    <definedName name="TotalAPSoldamount_sheets" hidden="1">1</definedName>
    <definedName name="TotalAPSoldF1.sqx_sheet0" hidden="1">"'Reports Units_Global_Month '
0
"</definedName>
    <definedName name="TotalAPSoldF1.sqx_sheets" hidden="1">1</definedName>
    <definedName name="TotalAPSoldF1amount_sheet0" hidden="1">"'Reports $_Global_Month'
0
"</definedName>
    <definedName name="TotalAPSoldF1amount_sheets" hidden="1">1</definedName>
    <definedName name="TotalDFAPF1Agricultural.sqx_sheet0" hidden="1">"'Reports Units_Delta Fcst'
0
"</definedName>
    <definedName name="TotalDFAPF1Agricultural.sqx_sheets" hidden="1">1</definedName>
    <definedName name="TotalDFAPF1Agriculturalamount_sheet0" hidden="1">"'Reports $_Delta Fcst '
0
"</definedName>
    <definedName name="TotalDFAPF1Agriculturalamount_sheets" hidden="1">1</definedName>
    <definedName name="TotalDFAPF1Construction.sqx_sheet0" hidden="1">"'Reports Units_Delta Fcst'
0
"</definedName>
    <definedName name="TotalDFAPF1Construction.sqx_sheets" hidden="1">1</definedName>
    <definedName name="TotalDFAPF1Constructionamount_sheet0" hidden="1">"'Reports $_Delta Fcst '
0
"</definedName>
    <definedName name="TotalDFAPF1Constructionamount_sheets" hidden="1">1</definedName>
    <definedName name="TotalDFAPF1Mkt.sqx_sheet0" hidden="1">"'Reports Units_Delta Fcst'
0
"</definedName>
    <definedName name="TotalDFAPF1Mkt.sqx_sheets" hidden="1">1</definedName>
    <definedName name="TotalDFAPF1Mkt1523.sqx_sheet0" hidden="1">"'Reports Units_Delta Fcst'
0
"</definedName>
    <definedName name="TotalDFAPF1Mkt1523.sqx_sheets" hidden="1">1</definedName>
    <definedName name="TotalDFAPF1Mkt1523amount_sheet0" hidden="1">"'Reports $_Delta Fcst '
0
"</definedName>
    <definedName name="TotalDFAPF1Mkt1523amount_sheets" hidden="1">1</definedName>
    <definedName name="TotalDFAPF1Mktamount_sheet0" hidden="1">"'Reports $_Delta Fcst '
0
"</definedName>
    <definedName name="TotalDFAPF1Mktamount_sheets" hidden="1">1</definedName>
    <definedName name="TotalDFAPF2Agricultural.sqx_sheet0" hidden="1">"'Reports Units_Delta Fcst'
0
"</definedName>
    <definedName name="TotalDFAPF2Agricultural.sqx_sheets" hidden="1">1</definedName>
    <definedName name="TotalDFAPF2Agriculturalamount_sheet0" hidden="1">"'Reports $_Delta Fcst '
0
"</definedName>
    <definedName name="TotalDFAPF2Agriculturalamount_sheets" hidden="1">1</definedName>
    <definedName name="TotalDFAPF2Constructionamount_sheet0" hidden="1">"'Reports $_Delta Fcst '
0
"</definedName>
    <definedName name="TotalDFAPF2Constructionamount_sheets" hidden="1">1</definedName>
    <definedName name="TotalDFAPF2Mkt1523amount_sheet0" hidden="1">"'Reports $_Delta Fcst '
0
"</definedName>
    <definedName name="TotalDFAPF2Mkt1523amount_sheets" hidden="1">1</definedName>
    <definedName name="TotalDFEUF1Agriculturaamount_sheet0" hidden="1">"'Reports $_Delta Fcst '
0
"</definedName>
    <definedName name="TotalDFEUF1Agriculturaamount_sheets" hidden="1">1</definedName>
    <definedName name="TotalDFEUF1Construction.sqx_sheet0" hidden="1">"'Reports Units_Delta Fcst'
0
"</definedName>
    <definedName name="TotalDFEUF1Construction.sqx_sheets" hidden="1">1</definedName>
    <definedName name="TotalDFEUF1Constructionamount_sheet0" hidden="1">"'Reports $_Delta Fcst '
0
"</definedName>
    <definedName name="TotalDFEUF1Constructionamount_sheets" hidden="1">1</definedName>
    <definedName name="TotalDFEUF1Mkt.sqx_sheet0" hidden="1">"'Reports Units_Delta Fcst'
0
"</definedName>
    <definedName name="TotalDFEUF1Mkt.sqx_sheets" hidden="1">1</definedName>
    <definedName name="TotalDFEUF1Mkt1523amount_sheet0" hidden="1">"'Reports $_Delta Fcst '
0
"</definedName>
    <definedName name="TotalDFEUF1Mkt1523amount_sheets" hidden="1">1</definedName>
    <definedName name="TotalDFEUF1Mktamount_sheet0" hidden="1">"'Reports $_Delta Fcst '
0
"</definedName>
    <definedName name="TotalDFEUF1Mktamount_sheets" hidden="1">1</definedName>
    <definedName name="TotalDFEUF2Agriculturalamount_sheet0" hidden="1">"'Reports $_Delta Fcst '
0
"</definedName>
    <definedName name="TotalDFEUF2Agriculturalamount_sheets" hidden="1">1</definedName>
    <definedName name="TotalDFEUF2Construction_sheet0" hidden="1">"'Reports $_Delta Fcst '
0
"</definedName>
    <definedName name="TotalDFEUF2Construction_sheets" hidden="1">1</definedName>
    <definedName name="TotalDFEUF2Mkt1523amount_sheet0" hidden="1">"'Reports $_Delta Fcst '
0
"</definedName>
    <definedName name="TotalDFEUF2Mkt1523amount_sheets" hidden="1">1</definedName>
    <definedName name="TotalDFNAF1Agriculturalamount_sheet0" hidden="1">"'Reports $_Delta Fcst '
0
"</definedName>
    <definedName name="TotalDFNAF1Agriculturalamount_sheets" hidden="1">1</definedName>
    <definedName name="TotalDFNAF1Construction.sqx_sheet0" hidden="1">"'Reports Units_Delta Fcst'
0
"</definedName>
    <definedName name="TotalDFNAF1Construction.sqx_sheets" hidden="1">1</definedName>
    <definedName name="TotalDFNAF1Constructionamount_sheet0" hidden="1">"'Reports $_Delta Fcst '
0
"</definedName>
    <definedName name="TotalDFNAF1Constructionamount_sheets" hidden="1">1</definedName>
    <definedName name="TotalDFNAF1Mkt_sheet0" hidden="1">"'Reports Units_Delta Fcst'
0
"</definedName>
    <definedName name="TotalDFNAF1Mkt_sheets" hidden="1">1</definedName>
    <definedName name="TotalDFNAF1Mkt1523amount_sheet0" hidden="1">"'Reports $_Delta Fcst '
0
"</definedName>
    <definedName name="TotalDFNAF1Mkt1523amount_sheets" hidden="1">1</definedName>
    <definedName name="TotalDFNAF1Mktamount_sheet0" hidden="1">"'Reports $_Delta Fcst '
0
"</definedName>
    <definedName name="TotalDFNAF1Mktamount_sheets" hidden="1">1</definedName>
    <definedName name="TotalDFNAF2Agriculturalamount_sheet0" hidden="1">"'Reports $_Delta Fcst '
0
"</definedName>
    <definedName name="TotalDFNAF2Agriculturalamount_sheets" hidden="1">1</definedName>
    <definedName name="TotalDFNAF2Constructionamount_sheet0" hidden="1">"'Reports $_Delta Fcst '
0
"</definedName>
    <definedName name="TotalDFNAF2Constructionamount_sheets" hidden="1">1</definedName>
    <definedName name="TotalDFNAF2Mkt1523amount_sheet0" hidden="1">"'Reports $_Delta Fcst '
0
"</definedName>
    <definedName name="TotalDFNAF2Mkt1523amount_sheets" hidden="1">1</definedName>
    <definedName name="TotalDFSAF1Agriculturalamount_sheet0" hidden="1">"'Reports $_Delta Fcst '
0
"</definedName>
    <definedName name="TotalDFSAF1Agriculturalamount_sheets" hidden="1">1</definedName>
    <definedName name="TotalDFSAF1Construction.sqx_sheet0" hidden="1">"'Reports Units_Delta Fcst'
0
"</definedName>
    <definedName name="TotalDFSAF1Construction.sqx_sheets" hidden="1">1</definedName>
    <definedName name="TotalDFSAF1Constructionamount_sheet0" hidden="1">"'Reports $_Delta Fcst '
0
"</definedName>
    <definedName name="TotalDFSAF1Constructionamount_sheets" hidden="1">1</definedName>
    <definedName name="TotalDFSAF1Mkt_sheet0" hidden="1">"'Reports Units_Delta Fcst'
0
"</definedName>
    <definedName name="TotalDFSAF1Mkt_sheets" hidden="1">1</definedName>
    <definedName name="TotalDFSAF1Mkt1523amount_sheet0" hidden="1">"'Reports $_Delta Fcst '
0
"</definedName>
    <definedName name="TotalDFSAF1Mkt1523amount_sheets" hidden="1">1</definedName>
    <definedName name="TotalDFSAF1Mktamount_sheet0" hidden="1">"'Reports $_Delta Fcst '
0
"</definedName>
    <definedName name="TotalDFSAF1Mktamount_sheets" hidden="1">1</definedName>
    <definedName name="TotalDFSAF2Agriculturalamount_sheet0" hidden="1">"'Reports $_Delta Fcst '
0
"</definedName>
    <definedName name="TotalDFSAF2Agriculturalamount_sheets" hidden="1">1</definedName>
    <definedName name="TotalDFSAF2Constructionamount_sheet0" hidden="1">"'Reports $_Delta Fcst '
0
"</definedName>
    <definedName name="TotalDFSAF2Constructionamount_sheets" hidden="1">1</definedName>
    <definedName name="TotalDFSAF2Mkt1523amount_sheet0" hidden="1">"'Reports $_Delta Fcst '
0
"</definedName>
    <definedName name="TotalDFSAF2Mkt1523amount_sheets" hidden="1">1</definedName>
    <definedName name="TotalEU1_sheet0" hidden="1">"'Reports Units_Global_Month '
0
"</definedName>
    <definedName name="TotalEU1_sheets" hidden="1">1</definedName>
    <definedName name="TotalEU1amount_sheet0" hidden="1">"'Reports $_Global_Month'
0
"</definedName>
    <definedName name="TotalEU1amount_sheets" hidden="1">1</definedName>
    <definedName name="TotalEUDeltaF1F2amount_sheet0" hidden="1">"'Reports $_Global_Month'
0
"</definedName>
    <definedName name="TotalEUDeltaF1F2amount_sheets" hidden="1">1</definedName>
    <definedName name="TotalEUF1.sqx_sheet0" hidden="1">"'Reports Units_Global_Month '
0
"</definedName>
    <definedName name="TotalEUF1.sqx_sheets" hidden="1">1</definedName>
    <definedName name="TotalEUF1amount_sheet0" hidden="1">"'Reports $_Global_Month'
0
"</definedName>
    <definedName name="TotalEUF1amount_sheets" hidden="1">1</definedName>
    <definedName name="TotalEUF2.sqx_sheet0" hidden="1">"'Reports Units_Global_Month '
0
"</definedName>
    <definedName name="TotalEUF2.sqx_sheets" hidden="1">1</definedName>
    <definedName name="TotalEUF2amount_sheet0" hidden="1">"'Reports $_Global_Month'
0
"</definedName>
    <definedName name="TotalEUF2amount_sheets" hidden="1">1</definedName>
    <definedName name="TotalEUPlan.sqx_sheet0" hidden="1">"'Reports Units_Global_Month '
0
"</definedName>
    <definedName name="TotalEUPlan.sqx_sheets" hidden="1">1</definedName>
    <definedName name="TotalEUPlanamount_sheet0" hidden="1">"'Reports $_Global_Month'
0
"</definedName>
    <definedName name="TotalEUPlanamount_sheets" hidden="1">1</definedName>
    <definedName name="TotalEUSoldamount_sheet0" hidden="1">"'Reports $_Global_Month'
0
"</definedName>
    <definedName name="TotalEUSoldamount_sheets" hidden="1">1</definedName>
    <definedName name="TotalEUSoldF1.sqx_sheet0" hidden="1">"'Reports Units_Global_Month '
0
"</definedName>
    <definedName name="TotalEUSoldF1.sqx_sheets" hidden="1">1</definedName>
    <definedName name="TotalEUSoldF1amount_sheet0" hidden="1">"'Reports $_Global_Month'
0
"</definedName>
    <definedName name="TotalEUSoldF1amount_sheets" hidden="1">1</definedName>
    <definedName name="TotalMAP1.sqx_sheet0" hidden="1">"'Reports Units_by Market '
0
"</definedName>
    <definedName name="TotalMAP1.sqx_sheets" hidden="1">1</definedName>
    <definedName name="TotalMAP1amount_sheet0" hidden="1">"'Reports $_by Market'
0
"</definedName>
    <definedName name="TotalMAP1amount_sheets" hidden="1">1</definedName>
    <definedName name="TotalMAPDeltaF1F2.sqx_sheet0" hidden="1">"'Reports Units_by Market '
0
"</definedName>
    <definedName name="TotalMAPDeltaF1F2.sqx_sheets" hidden="1">1</definedName>
    <definedName name="TotalMAPDeltaF1F2amount_sheet0" hidden="1">"'Reports $_by Market'
0
"</definedName>
    <definedName name="TotalMAPDeltaF1F2amount_sheets" hidden="1">1</definedName>
    <definedName name="TotalMAPF1.sqx_sheet0" hidden="1">"'Reports Units_by Market '
0
"</definedName>
    <definedName name="TotalMAPF1.sqx_sheets" hidden="1">1</definedName>
    <definedName name="TotalMAPF1amount_sheet0" hidden="1">"'Reports $_by Market'
0
"</definedName>
    <definedName name="TotalMAPF1amount_sheets" hidden="1">1</definedName>
    <definedName name="TotalMAPF2.sqx_sheet0" hidden="1">"'Reports Units_by Market TEST'
0
"</definedName>
    <definedName name="TotalMAPF2.sqx_sheets" hidden="1">1</definedName>
    <definedName name="TotalMAPF2amount_sheet0" hidden="1">"'Reports $_by Market'
0
"</definedName>
    <definedName name="TotalMAPF2amount_sheets" hidden="1">1</definedName>
    <definedName name="TotalMAPPlan.sqx_sheet0" hidden="1">"'Reports Units_by Market '
0
"</definedName>
    <definedName name="TotalMAPPlan.sqx_sheets" hidden="1">1</definedName>
    <definedName name="TotalMAPPlanamount_sheet0" hidden="1">"'Reports $_by Market'
0
"</definedName>
    <definedName name="TotalMAPPlanamount_sheets" hidden="1">1</definedName>
    <definedName name="TotalMAPSoldamount_sheet0" hidden="1">"'Reports $_by Market'
0
"</definedName>
    <definedName name="TotalMAPSoldamount_sheets" hidden="1">1</definedName>
    <definedName name="TotalMAPSoldF1.sqx_sheet0" hidden="1">"'Reports Units_by Market '
0
"</definedName>
    <definedName name="TotalMAPSoldF1.sqx_sheets" hidden="1">1</definedName>
    <definedName name="TotalMAPSoldF1amount_sheet0" hidden="1">"'Reports $_by Market'
0
"</definedName>
    <definedName name="TotalMAPSoldF1amount_sheets" hidden="1">1</definedName>
    <definedName name="TotalMEU1amount_sheet0" hidden="1">"'Reports $_by Market'
0
"</definedName>
    <definedName name="TotalMEU1amount_sheets" hidden="1">1</definedName>
    <definedName name="TotalMEUDeltaF1F2.sqx_sheet0" hidden="1">"'Reports Units_by Market '
0
"</definedName>
    <definedName name="TotalMEUDeltaF1F2.sqx_sheets" hidden="1">1</definedName>
    <definedName name="TotalMEUDeltaF1F2amount_sheet0" hidden="1">"'Reports $_by Market'
0
"</definedName>
    <definedName name="TotalMEUDeltaF1F2amount_sheets" hidden="1">1</definedName>
    <definedName name="TotalMEUF1.sqx_sheet0" hidden="1">"'Reports Units_by Market '
0
"</definedName>
    <definedName name="TotalMEUF1.sqx_sheets" hidden="1">1</definedName>
    <definedName name="TotalMEUF1amount_sheet0" hidden="1">"'Reports $_by Market'
0
"</definedName>
    <definedName name="TotalMEUF1amount_sheets" hidden="1">1</definedName>
    <definedName name="TotalMEUF2.sqx_sheet0" hidden="1">"'Reports Units_by Market '
0
"</definedName>
    <definedName name="TotalMEUF2.sqx_sheets" hidden="1">1</definedName>
    <definedName name="TotalMEUF2amount_sheet0" hidden="1">"'Reports $_by Market'
0
"</definedName>
    <definedName name="TotalMEUF2amount_sheets" hidden="1">1</definedName>
    <definedName name="TotalMEUPlan.sqx_sheet0" hidden="1">"'Reports Units_by Market '
0
"</definedName>
    <definedName name="TotalMEUPlan.sqx_sheets" hidden="1">1</definedName>
    <definedName name="TotalMEUPlanamount_sheet0" hidden="1">"'Reports $_by Market'
0
"</definedName>
    <definedName name="TotalMEUPlanamount_sheets" hidden="1">1</definedName>
    <definedName name="TotalMEUS.sqx_sheet0" hidden="1">"'Reports Units_by Market '
0
"</definedName>
    <definedName name="TotalMEUS.sqx_sheets" hidden="1">1</definedName>
    <definedName name="TotalMEUSoldamount_sheet0" hidden="1">"'Reports $_by Market'
0
"</definedName>
    <definedName name="TotalMEUSoldamount_sheets" hidden="1">1</definedName>
    <definedName name="TotalMEUSoldF1.sqx_sheet0" hidden="1">"'Reports Units_by Market '
0
"</definedName>
    <definedName name="TotalMEUSoldF1.sqx_sheets" hidden="1">1</definedName>
    <definedName name="TotalMEUSoldF1amount_sheet0" hidden="1">"'Reports $_by Market'
0
"</definedName>
    <definedName name="TotalMEUSoldF1amount_sheets" hidden="1">1</definedName>
    <definedName name="TotalMNA1_sheet0" hidden="1">"'Reports Units_by Market '
0
"</definedName>
    <definedName name="TotalMNA1_sheets" hidden="1">1</definedName>
    <definedName name="TotalMNA1.sqx_sheet0" hidden="1">"'Reports Units_by Market '
0
"</definedName>
    <definedName name="TotalMNA1.sqx_sheets" hidden="1">1</definedName>
    <definedName name="TotalMNA1amount_sheet0" hidden="1">"'Reports $_by Market'
0
"</definedName>
    <definedName name="TotalMNA1amount_sheets" hidden="1">1</definedName>
    <definedName name="TotalMNADeltaF1F2.sqx_sheet0" hidden="1">"'Reports Units_by Market '
0
"</definedName>
    <definedName name="TotalMNADeltaF1F2.sqx_sheets" hidden="1">1</definedName>
    <definedName name="TotalMNADeltaF1F2amount_sheet0" hidden="1">"'Reports $_by Market'
0
"</definedName>
    <definedName name="TotalMNADeltaF1F2amount_sheets" hidden="1">1</definedName>
    <definedName name="TotalMNAF1.sqx_sheet0" hidden="1">"'Reports Units_by Market '
0
"</definedName>
    <definedName name="TotalMNAF1.sqx_sheets" hidden="1">1</definedName>
    <definedName name="TotalMNAF1amount_sheet0" hidden="1">"'Reports $_by Market'
0
"</definedName>
    <definedName name="TotalMNAF1amount_sheets" hidden="1">1</definedName>
    <definedName name="TotalMNAF2amount_sheet0" hidden="1">"'Reports $_by Market'
0
"</definedName>
    <definedName name="TotalMNAF2amount_sheets" hidden="1">1</definedName>
    <definedName name="TotalMNAPlan.sqx_sheet0" hidden="1">"'Reports Units_by Market '
0
"</definedName>
    <definedName name="TotalMNAPlan.sqx_sheets" hidden="1">1</definedName>
    <definedName name="TotalMNAPlanamount_sheet0" hidden="1">"'Reports $_by Market'
0
"</definedName>
    <definedName name="TotalMNAPlanamount_sheets" hidden="1">1</definedName>
    <definedName name="TotalMNAS.sqx_sheet0" hidden="1">"'Reports Units_by Market '
0
"</definedName>
    <definedName name="TotalMNAS.sqx_sheets" hidden="1">1</definedName>
    <definedName name="TotalMNASoldamount_sheet0" hidden="1">"'Reports $_by Market'
0
"</definedName>
    <definedName name="TotalMNASoldamount_sheets" hidden="1">1</definedName>
    <definedName name="TotalMNASoldF1.sqx_sheet0" hidden="1">"'Reports Units_by Market '
0
"</definedName>
    <definedName name="TotalMNASoldF1.sqx_sheets" hidden="1">1</definedName>
    <definedName name="TotalMNASoldF1amount_sheet0" hidden="1">"'Reports $_by Market'
0
"</definedName>
    <definedName name="TotalMNASoldF1amount_sheets" hidden="1">1</definedName>
    <definedName name="TotalMSA1_sheet0" hidden="1">"'Reports Units_by Market '
0
"</definedName>
    <definedName name="TotalMSA1_sheets" hidden="1">1</definedName>
    <definedName name="TotalMSA1amount_sheet0" hidden="1">"'Reports $_by Market'
0
"</definedName>
    <definedName name="TotalMSA1amount_sheets" hidden="1">1</definedName>
    <definedName name="TotalMSADeltaF1F2.sqx_sheet0" hidden="1">"'Reports Units_by Market '
0
"</definedName>
    <definedName name="TotalMSADeltaF1F2.sqx_sheets" hidden="1">1</definedName>
    <definedName name="TotalMSADeltaF1F2amount_sheet0" hidden="1">"'Reports $_by Market'
0
"</definedName>
    <definedName name="TotalMSADeltaF1F2amount_sheets" hidden="1">1</definedName>
    <definedName name="TotalMSAF1.sqx_sheet0" hidden="1">"'Reports Units_by Market '
0
"</definedName>
    <definedName name="TotalMSAF1.sqx_sheets" hidden="1">1</definedName>
    <definedName name="TotalMSAF1amount_sheet0" hidden="1">"'Reports $_by Market'
0
"</definedName>
    <definedName name="TotalMSAF1amount_sheets" hidden="1">1</definedName>
    <definedName name="TotalMSAF2.sqx_sheet0" hidden="1">"'Reports Units_by Market '
0
"</definedName>
    <definedName name="TotalMSAF2.sqx_sheets" hidden="1">1</definedName>
    <definedName name="TotalMSAF2amount_sheet0" hidden="1">"'Reports $_by Market'
0
"</definedName>
    <definedName name="TotalMSAF2amount_sheets" hidden="1">1</definedName>
    <definedName name="TotalMSAPlan.sqx_sheet0" hidden="1">"'Reports Units_by Market '
0
"</definedName>
    <definedName name="TotalMSAPlan.sqx_sheets" hidden="1">1</definedName>
    <definedName name="TotalMSAPlanamount_sheet0" hidden="1">"'Reports $_by Market'
0
"</definedName>
    <definedName name="TotalMSAPlanamount_sheets" hidden="1">1</definedName>
    <definedName name="TotalMSAS.sqx_sheet0" hidden="1">"'Reports Units_by Market '
0
"</definedName>
    <definedName name="TotalMSAS.sqx_sheets" hidden="1">1</definedName>
    <definedName name="TotalMSASoldF1.sqx_sheet0" hidden="1">"'Reports Units_by Market '
0
"</definedName>
    <definedName name="TotalMSASoldF1.sqx_sheets" hidden="1">1</definedName>
    <definedName name="TotalMSASoldF1amount_sheet0" hidden="1">"'Reports $_by Market'
0
"</definedName>
    <definedName name="TotalMSASoldF1amount_sheets" hidden="1">1</definedName>
    <definedName name="TotalNA1.sqx_sheet0" hidden="1">"'Reports Units_Global_Month '
0
"</definedName>
    <definedName name="TotalNA1.sqx_sheets" hidden="1">1</definedName>
    <definedName name="TotalNA1amount_sheet0" hidden="1">"'Reports $_Global_Month'
0
"</definedName>
    <definedName name="TotalNA1amount_sheets" hidden="1">1</definedName>
    <definedName name="TotalNADeltaF1F2.sqx_sheet0" hidden="1">"'Reports Units_Global_Month '
0
"</definedName>
    <definedName name="TotalNADeltaF1F2.sqx_sheets" hidden="1">1</definedName>
    <definedName name="TotalNADeltaF1F2amount_sheet0" hidden="1">"'Reports $_Global_Month'
0
"</definedName>
    <definedName name="TotalNADeltaF1F2amount_sheets" hidden="1">1</definedName>
    <definedName name="TotalNAF1.sqx_sheet0" hidden="1">"'Reports Units_Global_Month '
0
"</definedName>
    <definedName name="TotalNAF1.sqx_sheets" hidden="1">1</definedName>
    <definedName name="TotalNAF1amount_sheet0" hidden="1">"'Reports $_Global_Month'
0
"</definedName>
    <definedName name="TotalNAF1amount_sheets" hidden="1">1</definedName>
    <definedName name="TotalNAF2.sqx_sheet0" hidden="1">"'Reports Units_Global_Month '
0
"</definedName>
    <definedName name="TotalNAF2.sqx_sheets" hidden="1">1</definedName>
    <definedName name="TotalNAF2amount_sheet0" hidden="1">"'Reports $_Global_Month'
0
"</definedName>
    <definedName name="TotalNAF2amount_sheets" hidden="1">1</definedName>
    <definedName name="TotalNAPlan.sqx_sheet0" hidden="1">"'Reports Units_Global_Month '
0
"</definedName>
    <definedName name="TotalNAPlan.sqx_sheets" hidden="1">1</definedName>
    <definedName name="TotalNAPlanamount_sheet0" hidden="1">"'Reports $_Global_Month'
0
"</definedName>
    <definedName name="TotalNAPlanamount_sheets" hidden="1">1</definedName>
    <definedName name="TotalNASoldamount_sheet0" hidden="1">"'Reports $_Global_Month'
0
"</definedName>
    <definedName name="TotalNASoldamount_sheets" hidden="1">1</definedName>
    <definedName name="TotalNASoldF1.sqx_sheet0" hidden="1">"'Reports Units_Global_Month '
0
"</definedName>
    <definedName name="TotalNASoldF1.sqx_sheets" hidden="1">1</definedName>
    <definedName name="TotalNASoldF1amount_sheet0" hidden="1">"'Reports $_Global_Month'
0
"</definedName>
    <definedName name="TotalNASoldF1amount_sheets" hidden="1">1</definedName>
    <definedName name="TotalRegions_Markets.sqx_sheet0" hidden="1">"'Reports Units_Global full year'
0
"</definedName>
    <definedName name="TotalRegions_Markets.sqx_sheets" hidden="1">1</definedName>
    <definedName name="TotalRegions_MarketsAmounts.sqx_sheet0" hidden="1">"'Reports $_Global full year'
0
"</definedName>
    <definedName name="TotalRegions_MarketsAmounts.sqx_sheets" hidden="1">1</definedName>
    <definedName name="TotalSA1.sqx_sheet0" hidden="1">"'Reports Units_Global_Month '
0
"</definedName>
    <definedName name="TotalSA1.sqx_sheets" hidden="1">1</definedName>
    <definedName name="TotalSA1amount_sheet0" hidden="1">"'Reports $_Global_Month'
0
"</definedName>
    <definedName name="TotalSA1amount_sheets" hidden="1">1</definedName>
    <definedName name="TotalSADeltaF1F2.sqx_sheet0" hidden="1">"'Reports Units_Global_Month '
0
"</definedName>
    <definedName name="TotalSADeltaF1F2.sqx_sheets" hidden="1">1</definedName>
    <definedName name="TotalSADeltaF1F2amount_sheet0" hidden="1">"'Reports $_Global_Month'
0
"</definedName>
    <definedName name="TotalSADeltaF1F2amount_sheets" hidden="1">1</definedName>
    <definedName name="TotalSAF1.sqx_sheet0" hidden="1">"'Reports Units_Global_Month '
0
"</definedName>
    <definedName name="TotalSAF1.sqx_sheets" hidden="1">1</definedName>
    <definedName name="TotalSAF1amount_sheet0" hidden="1">"'Reports $_Global_Month'
0
"</definedName>
    <definedName name="TotalSAF1amount_sheets" hidden="1">1</definedName>
    <definedName name="TotalSAF2.sqx_sheet0" hidden="1">"'Reports Units_Global_Month '
0
"</definedName>
    <definedName name="TotalSAF2.sqx_sheets" hidden="1">1</definedName>
    <definedName name="TotalSAF2amount_sheet0" hidden="1">"'Reports $_Global_Month'
0
"</definedName>
    <definedName name="TotalSAF2amount_sheets" hidden="1">1</definedName>
    <definedName name="TotalSAPlan.sqx_sheet0" hidden="1">"'Reports Units_Global_Month '
0
"</definedName>
    <definedName name="TotalSAPlan.sqx_sheets" hidden="1">1</definedName>
    <definedName name="TotalSAPlanamount_sheet0" hidden="1">"'Reports $_Global_Month'
0
"</definedName>
    <definedName name="TotalSAPlanamount_sheets" hidden="1">1</definedName>
    <definedName name="TotalSASoldamount_sheet0" hidden="1">"'Reports $_Global_Month'
0
"</definedName>
    <definedName name="TotalSASoldamount_sheets" hidden="1">1</definedName>
    <definedName name="TotalSASoldF1.sqx_sheet0" hidden="1">"'Reports Units_Global_Month '
0
"</definedName>
    <definedName name="TotalSASoldF1.sqx_sheets" hidden="1">1</definedName>
    <definedName name="TotalSASoldF1amount_sheet0" hidden="1">"'Reports $_Global_Month'
0
"</definedName>
    <definedName name="TotalSASoldF1amount_sheets" hidden="1">1</definedName>
    <definedName name="TotalSoldAndF1.sqx_sheet0" hidden="1">"'TotalSoldAndF1.sqx'
0
"</definedName>
    <definedName name="TotalSoldAndF1.sqx_sheets" hidden="1">1</definedName>
    <definedName name="TotalSoldAndF1Amounts.sqx_sheet0" hidden="1">"'TotalSoldAndF1Amounts.sqx'
0
"</definedName>
    <definedName name="TotalSoldAndF1Amounts.sqx_sheets" hidden="1">1</definedName>
    <definedName name="TotalSoldAndF2.sqx_sheet0" hidden="1">"'TotalSoldAndF2.sqx'
0
"</definedName>
    <definedName name="TotalSoldAndF2.sqx_sheets" hidden="1">1</definedName>
    <definedName name="TotalSoldAndF2Amounts.sqx_sheet0" hidden="1">"'TotalSoldAndF2Amounts.sqx'
0
"</definedName>
    <definedName name="TotalSoldAndF2Amounts.sqx_sheets" hidden="1">1</definedName>
    <definedName name="touquois" hidden="1">#REF!</definedName>
    <definedName name="TP_Footer_User" hidden="1">"LEGARSE"</definedName>
    <definedName name="TP_Footer_Version" hidden="1">"v4.00"</definedName>
    <definedName name="trdr04" hidden="1">{"Summary",#N/A,FALSE,"Schedule4"}</definedName>
    <definedName name="tss" hidden="1">{#N/A,#N/A,TRUE,"ProFormaProfit";#N/A,#N/A,TRUE,"ProFormaCash";#N/A,#N/A,TRUE,"Depreciation";#N/A,#N/A,TRUE,"Assets";#N/A,#N/A,TRUE,"Revenue";#N/A,#N/A,TRUE,"EstimatedPurchase"}</definedName>
    <definedName name="tt" hidden="1">{"works expense",#N/A,FALSE,"WORKS EXPENSE"}</definedName>
    <definedName name="turnip" hidden="1">#REF!</definedName>
    <definedName name="tut" hidden="1">{#N/A,#N/A,TRUE,"ProFormaProfit";#N/A,#N/A,TRUE,"ProFormaCash";#N/A,#N/A,TRUE,"Depreciation";#N/A,#N/A,TRUE,"Assets";#N/A,#N/A,TRUE,"Revenue";#N/A,#N/A,TRUE,"EstimatedPurchase"}</definedName>
    <definedName name="u" hidden="1">{#N/A,#N/A,TRUE,"Cover  Page";#N/A,#N/A,TRUE,"DAILY  RATE";#N/A,#N/A,TRUE,"Comprod";#N/A,#N/A,TRUE,"Monthly Prod ´01";#N/A,#N/A,TRUE,"Calendar Year  2001";#N/A,#N/A,TRUE,"Monthly Rate ´01";#N/A,#N/A,TRUE,"VENEZUELA";#N/A,#N/A,TRUE,"COLOMBIA";#N/A,#N/A,TRUE,"ECUADOR"}</definedName>
    <definedName name="ugyi" hidden="1">{#N/A,#N/A,FALSE,"output";#N/A,#N/A,FALSE,"contrib";#N/A,#N/A,FALSE,"profile";#N/A,#N/A,FALSE,"comps"}</definedName>
    <definedName name="uhno" hidden="1">#REF!</definedName>
    <definedName name="umy" hidden="1">{"comps",#N/A,FALSE,"comps";"notes",#N/A,FALSE,"comps"}</definedName>
    <definedName name="un" hidden="1">{"works expense",#N/A,FALSE,"WORKS EXPENSE"}</definedName>
    <definedName name="urtutrityityityuityi" hidden="1">{#N/A,#N/A,TRUE,"Pro Forma";#N/A,#N/A,TRUE,"PF_Bal";#N/A,#N/A,TRUE,"PF_INC";#N/A,#N/A,TRUE,"CBE";#N/A,#N/A,TRUE,"SWK"}</definedName>
    <definedName name="v" hidden="1">{"'Comprod'!$A$1:$Q$132"}</definedName>
    <definedName name="ve" hidden="1">#REF!</definedName>
    <definedName name="vf" hidden="1">#REF!</definedName>
    <definedName name="vh" hidden="1">#REF!</definedName>
    <definedName name="vi" hidden="1">#REF!</definedName>
    <definedName name="vk" hidden="1">#REF!</definedName>
    <definedName name="vm" hidden="1">#REF!</definedName>
    <definedName name="vnvvm" hidden="1">#REF!</definedName>
    <definedName name="vp" hidden="1">#REF!</definedName>
    <definedName name="vq" hidden="1">#REF!</definedName>
    <definedName name="vs" hidden="1">#REF!</definedName>
    <definedName name="vt" hidden="1">#REF!</definedName>
    <definedName name="vyv" hidden="1">#REF!</definedName>
    <definedName name="vz" hidden="1">#REF!</definedName>
    <definedName name="water" hidden="1">#REF!</definedName>
    <definedName name="wer" hidden="1">{"comp1",#N/A,FALSE,"COMPS";"footnotes",#N/A,FALSE,"COMPS"}</definedName>
    <definedName name="wererwer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n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ew" hidden="1">#REF!</definedName>
    <definedName name="WkQ112Q113" hidden="1">{"page1",#N/A,TRUE,"Summary";"page2",#N/A,TRUE,"Pension";"page3",#N/A,TRUE,"Pension";"page4",#N/A,TRUE,"Medical";"page5",#N/A,TRUE,"Medical"}</definedName>
    <definedName name="wq" hidden="1">#REF!</definedName>
    <definedName name="wrn_eva" hidden="1">{"EVA",#N/A,FALSE,"EVA";"WACC",#N/A,FALSE,"WACC"}</definedName>
    <definedName name="wrn_otpt" hidden="1">{"DCF","UPSIDE CASE",FALSE,"Sheet1";"DCF","BASE CASE",FALSE,"Sheet1";"DCF","DOWNSIDE CASE",FALSE,"Sheet1"}</definedName>
    <definedName name="wrn.1." hidden="1">{#N/A,#N/A,FALSE,"Calc";#N/A,#N/A,FALSE,"Sensitivity";#N/A,#N/A,FALSE,"LT Earn.Dil.";#N/A,#N/A,FALSE,"Dil. AVP"}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b." localSheetId="8" hidden="1">{#N/A,#N/A,TRUE,"HOJA 1 (P)";#N/A,#N/A,TRUE,"HOJA 2 (P)";#N/A,#N/A,TRUE,"HOJA 3 (P)";#N/A,#N/A,TRUE,"HOJA 4 (P)"}</definedName>
    <definedName name="wrn.1b." localSheetId="6" hidden="1">{#N/A,#N/A,TRUE,"HOJA 1 (P)";#N/A,#N/A,TRUE,"HOJA 2 (P)";#N/A,#N/A,TRUE,"HOJA 3 (P)";#N/A,#N/A,TRUE,"HOJA 4 (P)"}</definedName>
    <definedName name="wrn.1b." localSheetId="7" hidden="1">{#N/A,#N/A,TRUE,"HOJA 1 (P)";#N/A,#N/A,TRUE,"HOJA 2 (P)";#N/A,#N/A,TRUE,"HOJA 3 (P)";#N/A,#N/A,TRUE,"HOJA 4 (P)"}</definedName>
    <definedName name="wrn.1b." hidden="1">{#N/A,#N/A,TRUE,"HOJA 1 (P)";#N/A,#N/A,TRUE,"HOJA 2 (P)";#N/A,#N/A,TRUE,"HOJA 3 (P)";#N/A,#N/A,TRUE,"HOJA 4 (P)"}</definedName>
    <definedName name="WRN.2." hidden="1">{#N/A,#N/A,FALSE,"Calc";#N/A,#N/A,FALSE,"Sensitivity";#N/A,#N/A,FALSE,"LT Earn.Dil.";#N/A,#N/A,FALSE,"Dil. AVP"}</definedName>
    <definedName name="wrn.2._.pagers." hidden="1">{"Cover",#N/A,FALSE,"Cover";"Summary",#N/A,FALSE,"Summarpage"}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3." hidden="1">{"cover",#N/A,TRUE,"Cover";"toc1",#N/A,TRUE,"TOC";"ts1",#N/A,TRUE,"Transaction Summary";"ei2",#N/A,TRUE,"Earnings Impact";"ad2",#N/A,TRUE,"accretion dilution"}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4.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A.._.Print._.All." hidden="1">{"A COM Detail YTD",#N/A,FALSE,"DATA";"B Exp Detail YTD",#N/A,FALSE,"DATA";"C COM Detail Qtr of",#N/A,FALSE,"DATA";"D Exp Detail Qtr of",#N/A,FALSE,"DATA";"A Performance Report",#N/A,FALSE,"%Performance"}</definedName>
    <definedName name="wrn.acmp." hidden="1">{#N/A,#N/A,FALSE,"SGP";#N/A,#N/A,FALSE,"SGI";#N/A,#N/A,FALSE,"SGC";#N/A,#N/A,FALSE,"SGS";#N/A,#N/A,FALSE,"SGB"}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" localSheetId="8" hidden="1">{#N/A,#N/A,FALSE,"Aging Summary";#N/A,#N/A,FALSE,"Ratio Analysis";#N/A,#N/A,FALSE,"Test 120 Day Accts";#N/A,#N/A,FALSE,"Tickmarks"}</definedName>
    <definedName name="wrn.Aging" localSheetId="6" hidden="1">{#N/A,#N/A,FALSE,"Aging Summary";#N/A,#N/A,FALSE,"Ratio Analysis";#N/A,#N/A,FALSE,"Test 120 Day Accts";#N/A,#N/A,FALSE,"Tickmarks"}</definedName>
    <definedName name="wrn.Aging" localSheetId="7" hidden="1">{#N/A,#N/A,FALSE,"Aging Summary";#N/A,#N/A,FALSE,"Ratio Analysis";#N/A,#N/A,FALSE,"Test 120 Day Accts";#N/A,#N/A,FALSE,"Tickmarks"}</definedName>
    <definedName name="wrn.Aging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6" hidden="1">{#N/A,#N/A,FALSE,"Aging Summary";#N/A,#N/A,FALSE,"Ratio Analysis";#N/A,#N/A,FALSE,"Test 120 Day Accts";#N/A,#N/A,FALSE,"Tickmarks"}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JUSTE._.INVENTARIOS." localSheetId="8" hidden="1">{#N/A,#N/A,FALSE,"AJ. LATAS";#N/A,#N/A,FALSE,"AJ. CONC";#N/A,#N/A,FALSE,"AJ. P.T."}</definedName>
    <definedName name="wrn.AJUSTE._.INVENTARIOS." localSheetId="6" hidden="1">{#N/A,#N/A,FALSE,"AJ. LATAS";#N/A,#N/A,FALSE,"AJ. CONC";#N/A,#N/A,FALSE,"AJ. P.T."}</definedName>
    <definedName name="wrn.AJUSTE._.INVENTARIOS." localSheetId="7" hidden="1">{#N/A,#N/A,FALSE,"AJ. LATAS";#N/A,#N/A,FALSE,"AJ. CONC";#N/A,#N/A,FALSE,"AJ. P.T."}</definedName>
    <definedName name="wrn.AJUSTE._.INVENTARIOS." hidden="1">{#N/A,#N/A,FALSE,"AJ. LATAS";#N/A,#N/A,FALSE,"AJ. CONC";#N/A,#N/A,FALSE,"AJ. P.T."}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Deparments._.Staffing._.Plans." hidden="1">{"Pgm Mngt S/P",#N/A,FALSE,"Prg Mgt";"Govt Rltns S/P",#N/A,FALSE,"Govt Rltns";"HR S/P",#N/A,FALSE,"HR";"B&amp;A S/P",#N/A,FALSE,"B&amp;A";"Prjt Cntrl S/P",#N/A,FALSE,"Prjct Cntrls";"Contracts S/P",#N/A,FALSE,"Cntrct";"QA S/P",#N/A,FALSE,"QA";"IT S/P",#N/A,FALSE,"IT";"DC S/P",#N/A,FALSE,"DC";"PMM S/P",#N/A,FALSE,"PMM";"HSE S/P",#N/A,FALSE,"HSE";"ENG'G S/P",#N/A,FALSE,"Eng'g";"Comm'g S/P",#N/A,FALSE,"Comm'g";"Const SP",#N/A,FALSE,"Cnstrctn";"Construction SP1",#N/A,FALSE,"Cnstrctn"}</definedName>
    <definedName name="wrn.All._.Departments._.CM." hidden="1">{"All Departments Cost Model Summary",#N/A,FALSE,"Ttl Prjct Cost";"Prm Mgnt CM",#N/A,FALSE,"Prg Mgt";"Govt Rltns CM",#N/A,FALSE,"Govt Rltns";"HR CM",#N/A,FALSE,"HR";"B&amp;A CM",#N/A,FALSE,"B&amp;A";"Prjt Cntl CM",#N/A,FALSE,"Prjct Cntrls";"Cntct CM",#N/A,FALSE,"Cntrct";"QA CM",#N/A,FALSE,"QA";"IT CM",#N/A,FALSE,"IT";"DC CM",#N/A,FALSE,"DC";"PMM CM",#N/A,FALSE,"PMM";"HSE CM",#N/A,FALSE,"HSE";"Eng'g CM",#N/A,FALSE,"Eng'g";"Cnstrctn CM",#N/A,FALSE,"Cnstrctn";"Comm'g CM",#N/A,FALSE,"Comm'g"}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pages." hidden="1">{#N/A,#N/A,TRUE,"Historicals";#N/A,#N/A,TRUE,"Charts";#N/A,#N/A,TRUE,"Forecasts"}</definedName>
    <definedName name="wrn.Ansr._.Model." hidden="1">{"Ansrpg1",#N/A,FALSE,"Income";"Ansrpg2",#N/A,FALSE,"Income";"Ansrpg3",#N/A,FALSE,"Income";"Ansrpg4",#N/A,FALSE,"Income"}</definedName>
    <definedName name="wrn.AQUIROR._.DCF." hidden="1">{"AQUIRORDCF",#N/A,FALSE,"Merger consequences";"Acquirorassns",#N/A,FALSE,"Merger consequences"}</definedName>
    <definedName name="wrn.assumptions." hidden="1">{"casespecific",#N/A,FALSE,"Assumptions"}</definedName>
    <definedName name="wrn.away." hidden="1">{"away stand alones",#N/A,FALSE,"Target"}</definedName>
    <definedName name="wrn.B_print" hidden="1">{"A COM Detail YTD",#N/A,FALSE,"DATA";"B Exp Detail YTD",#N/A,FALSE,"DATA";"C COM Detail Qtr of",#N/A,FALSE,"DATA";"D Exp Detail Qtr of",#N/A,FALSE,"DATA";"A Performance Report",#N/A,FALSE,"%Performance"}</definedName>
    <definedName name="wrn.B.._.Qtr._.of._.Responsibility." hidden="1">{"C COM Detail Qtr of",#N/A,FALSE,"DATA";"D Exp Detail Qtr of",#N/A,FALSE,"DATA"}</definedName>
    <definedName name="wrn.backup." hidden="1">{"background",#N/A,FALSE,"CS First Boston Merger Model";"inputs",#N/A,FALSE,"CS First Boston Merger Model"}</definedName>
    <definedName name="wrn.BID." hidden="1">{"PAGE1",#N/A,FALSE,"BID (3)";"PAGE2",#N/A,FALSE,"BID (3)"}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ian." hidden="1">{#N/A,#N/A,FALSE,"output";#N/A,#N/A,FALSE,"contrib";#N/A,#N/A,FALSE,"profile";#N/A,#N/A,FALSE,"comps"}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.._.YTD._.Responsibility." hidden="1">{"A COM Detail YTD",#N/A,FALSE,"DATA";"B Exp Detail YTD",#N/A,FALSE,"DATA"}</definedName>
    <definedName name="wrn.capital." hidden="1">{"capital",#N/A,FALSE,"CAPITAL_DEP'N"}</definedName>
    <definedName name="wrn.CAPITAL._.DETAIL." hidden="1">{"CAPITAL DETAIL",#N/A,FALSE,"1993"}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er._.form." hidden="1">{#N/A,#N/A,TRUE,"ExecSumm";#N/A,#N/A,TRUE,"Summary";#N/A,#N/A,TRUE,"Sensitivity";#N/A,#N/A,TRUE,"One-time Summary";#N/A,#N/A,TRUE,"Severance";#N/A,#N/A,TRUE,"Labor";#N/A,#N/A,TRUE,"One Time";#N/A,#N/A,TRUE,"ME";#N/A,#N/A,TRUE,"Overhead";#N/A,#N/A,TRUE,"NPV Detail"}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2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OBRANZA." localSheetId="8" hidden="1">{#N/A,#N/A,FALSE,"5";#N/A,#N/A,FALSE,"COBRANZA"}</definedName>
    <definedName name="wrn.COBRANZA." localSheetId="6" hidden="1">{#N/A,#N/A,FALSE,"5";#N/A,#N/A,FALSE,"COBRANZA"}</definedName>
    <definedName name="wrn.COBRANZA." localSheetId="7" hidden="1">{#N/A,#N/A,FALSE,"5";#N/A,#N/A,FALSE,"COBRANZA"}</definedName>
    <definedName name="wrn.COBRANZA." hidden="1">{#N/A,#N/A,FALSE,"5";#N/A,#N/A,FALSE,"COBRANZA"}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{"comps",#N/A,FALSE,"comps";"notes",#N/A,FALSE,"comps"}</definedName>
    <definedName name="wrn.cooper." hidden="1">{#N/A,#N/A,TRUE,"Pro Forma";#N/A,#N/A,TRUE,"PF_Bal";#N/A,#N/A,TRUE,"PF_INC";#N/A,#N/A,TRUE,"CBE";#N/A,#N/A,TRUE,"SWK"}</definedName>
    <definedName name="wrn.CVG._.5._.Yr.._.model." hidden="1">{"Financial View",#N/A,FALSE,"Annual";"BS, CF, assns view",#N/A,FALSE,"BS and SCF";"DCF view",#N/A,FALSE,"Valuation";"Sensitivity View",#N/A,FALSE,"Valuation"}</definedName>
    <definedName name="wrn.D.._.Performance." hidden="1">{"A Performance Report",#N/A,FALSE,"%Performance"}</definedName>
    <definedName name="wrn.DCF_Terminal_Value_qchm." hidden="1">{"qchm_dcf",#N/A,FALSE,"QCHMDCF2";"qchm_terminal",#N/A,FALSE,"QCHMDCF2"}</definedName>
    <definedName name="wrn.DCF." hidden="1">{"DCF1",#N/A,FALSE,"SIERRA DCF";"MATRIX1",#N/A,FALSE,"SIERRA DCF"}</definedName>
    <definedName name="wrn.dcf2" hidden="1">{"mgmt forecast",#N/A,FALSE,"Mgmt Forecast";"dcf table",#N/A,FALSE,"Mgmt Forecast";"sensitivity",#N/A,FALSE,"Mgmt Forecast";"table inputs",#N/A,FALSE,"Mgmt Forecast";"calculations",#N/A,FALSE,"Mgmt Forecast"}</definedName>
    <definedName name="wrn.detail." hidden="1">{"Build1",#N/A,FALSE,"Buildup";"Build2",#N/A,FALSE,"Buildup";"Build3",#N/A,FALSE,"Buildup"}</definedName>
    <definedName name="wrn.Detailed." hidden="1">{"Detailed",#N/A,FALSE,"Schedule4"}</definedName>
    <definedName name="wrn.dil_anal." hidden="1">{"hiden",#N/A,FALSE,"14";"hidden",#N/A,FALSE,"16";"hidden",#N/A,FALSE,"18";"hidden",#N/A,FALSE,"20"}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ation." hidden="1">{"document1",#N/A,FALSE,"Documentation";"document2",#N/A,FALSE,"Documentation"}</definedName>
    <definedName name="wrn.documenthand." hidden="1">{"comps",#N/A,FALSE,"HANDPACK";"footnotes",#N/A,FALSE,"HANDPACK"}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quity._.comps." hidden="1">{"equity comps",#N/A,FALSE,"CS Comps";"equity comps",#N/A,FALSE,"PS Comps";"equity comps",#N/A,FALSE,"GIC_Comps";"equity comps",#N/A,FALSE,"GIC2_Comps"}</definedName>
    <definedName name="wrn.ESTADOS._.FINANCIEROS." localSheetId="8" hidden="1">{#N/A,#N/A,TRUE,"B.G. Y E.R.";#N/A,#N/A,TRUE,"ANEXOS B.G.";#N/A,#N/A,TRUE,"ANEXO E.R. GASTOS"}</definedName>
    <definedName name="wrn.ESTADOS._.FINANCIEROS." localSheetId="6" hidden="1">{#N/A,#N/A,TRUE,"B.G. Y E.R.";#N/A,#N/A,TRUE,"ANEXOS B.G.";#N/A,#N/A,TRUE,"ANEXO E.R. GASTOS"}</definedName>
    <definedName name="wrn.ESTADOS._.FINANCIEROS." localSheetId="7" hidden="1">{#N/A,#N/A,TRUE,"B.G. Y E.R.";#N/A,#N/A,TRUE,"ANEXOS B.G.";#N/A,#N/A,TRUE,"ANEXO E.R. GASTOS"}</definedName>
    <definedName name="wrn.ESTADOS._.FINANCIEROS." hidden="1">{#N/A,#N/A,TRUE,"B.G. Y E.R.";#N/A,#N/A,TRUE,"ANEXOS B.G.";#N/A,#N/A,TRUE,"ANEXO E.R. GASTOS"}</definedName>
    <definedName name="wrn.Facilities." hidden="1">{"All Years",#N/A,FALSE,"All Years";"Kentwood",#N/A,FALSE,"Kentwood";"Pax",#N/A,FALSE,"Pax";"SC",#N/A,FALSE,"SC";"F&amp;P",#N/A,FALSE,"F&amp;P";"Brazil",#N/A,FALSE,"Brazil";"California",#N/A,FALSE,"California";"Alti",#N/A,FALSE,"Alti"}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ull." hidden="1">{"Comp1",#N/A,FALSE,"COMP";"Comp2",#N/A,FALSE,"COMP";"Comp3",#N/A,FALSE,"COMP";"Comp4",#N/A,FALSE,"COMP"}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cheds." hidden="1">{#N/A,#N/A,FALSE,"Divider-Lease Doc Scheds";#N/A,#N/A,FALSE,"Sched. 6 Headlease";#N/A,#N/A,FALSE,"Headlease Calculations";#N/A,#N/A,FALSE,"Sched. 7 Headlease";#N/A,#N/A,FALSE,"Sched. 12 Headlease";#N/A,#N/A,FALSE,"Sched. 13 Headlease";#N/A,#N/A,FALSE,"Sublease Doc Scheds";#N/A,#N/A,FALSE,"Sched. 6 Sub";#N/A,#N/A,FALSE,"Sub Rent Calcs";#N/A,#N/A,FALSE,"Sched. 6-2 Sub";#N/A,#N/A,FALSE,"Rebate Calcs";#N/A,#N/A,FALSE,"Sched. 6-3 Sub ";#N/A,#N/A,FALSE,"Sched. 7 Sub";#N/A,#N/A,FALSE,"Sched. 7-2 Sub";#N/A,#N/A,FALSE,"Sched. 7-3 Sub ";#N/A,#N/A,FALSE,"Sched. 7-4 Sub ";#N/A,#N/A,FALSE,"Sched. 7-5 Sub ";#N/A,#N/A,FALSE,"Sched. 7-6 Sub";#N/A,#N/A,FALSE,"Stip Loss Calcs";#N/A,#N/A,FALSE,"Sched. 12 Sublease P.A. Last 2";#N/A,#N/A,FALSE,"Divider- Jr. Loan &amp; Bank Dep";#N/A,#N/A,FALSE,"Total Bank Deposit Schedule";#N/A,#N/A,FALSE,"Bank Deposit Schedule A1";#N/A,#N/A,FALSE,"Bank Deposit Schedule B1";#N/A,#N/A,FALSE,"Bank Deposit Schedule A2";#N/A,#N/A,FALSE,"Bank Deposit Schedule B2";#N/A,#N/A,FALSE,"Total Junior Note Schedule";#N/A,#N/A,FALSE,"Sched 1 Jr Loan A";#N/A,#N/A,FALSE,"Sched 1 Jr. Loan B";#N/A,#N/A,FALSE,"Sched 1 Jr. Note A";#N/A,#N/A,FALSE,"Sched 1 Jr. Note B";#N/A,#N/A,FALSE,"Divider-Senior (ECA) Scheds";#N/A,#N/A,FALSE,"Divider-Back Up Scheds";#N/A,#N/A,FALSE,"Senior Loan";#N/A,#N/A,FALSE,"ECA Supported Loan";#N/A,#N/A,FALSE,"Commercial Loan"}</definedName>
    <definedName name="wrn.FullReport.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.Headoffice._.euro." hidden="1">{"HO_sum_e",#N/A,FALSE,"Headoffice Summary";"Admin_sum_e",#N/A,FALSE,"ADMIN Sum";"Admin01_e",#N/A,FALSE,"ADMIN01";"Admin02_e",#N/A,FALSE,"ADMIN02";"AUXRE_e",#N/A,FALSE,"AUXRE";"CORAL_e",#N/A,FALSE,"CORAL";"GENGM_e",#N/A,FALSE,"GENGM";"HUMRE_sum_e",#N/A,FALSE,"HUMRE Sum";"HUMRE_01_e",#N/A,FALSE,"HUMRE01";"HUMRE01_e",#N/A,FALSE,"HUMRE02";"HUMRE03_e",#N/A,FALSE,"HUMRE03";"HUMRE04_e",#N/A,FALSE,"HUMRE04";"LGLGM_e",#N/A,FALSE,"LGLGM";"MKTGL_sum_e",#N/A,FALSE,"MKTGL Sum";"MKTGL01_e",#N/A,FALSE,"MKTGL01";"MKTGL02_e",#N/A,FALSE,"MKTGL02";"MKTGL03_e",#N/A,FALSE,"MKTGL03";"MKTGL04_e",#N/A,FALSE,"MKTGL04";"PRJDV_sum_e",#N/A,FALSE,"PRJDV Sum";"PRDJV01_e",#N/A,FALSE,"PRJDV01";"PRJDV02_e",#N/A,FALSE,"PRJDV02";"MKTSL_e",#N/A,FALSE,"MKTSL";"Publicity_e",#N/A,FALSE,"PUBLICITY";"Training_e",#N/A,FALSE,"Training"}</definedName>
    <definedName name="wrn.Headoffice._.NLG." hidden="1">{"HO_sum_nlg",#N/A,FALSE,"Headoffice Summary";"Admin_sum_nlg",#N/A,FALSE,"ADMIN Sum";"ADMIN01_nlg",#N/A,FALSE,"ADMIN01";"ADMIN01_nlg",#N/A,FALSE,"ADMIN02";"AUXRE_nlg",#N/A,FALSE,"AUXRE";"CORAL_nlg",#N/A,FALSE,"CORAL";"GENGM_nlg",#N/A,FALSE,"GENGM";"HUMRE_sum_nlg",#N/A,FALSE,"HUMRE Sum";"HUMRE01_nlg",#N/A,FALSE,"HUMRE01";"HUMRE02_nlg",#N/A,FALSE,"HUMRE02";"HUMRE03_nlg",#N/A,FALSE,"HUMRE03";"HUMRE04_nlg",#N/A,FALSE,"HUMRE04";"LGLGM_nlg",#N/A,FALSE,"LGLGM";"MKTGL_sum_nlg",#N/A,FALSE,"MKTGL Sum";"MKTGL01_nlg",#N/A,FALSE,"MKTGL01";"MKTGL02_nlg",#N/A,FALSE,"MKTGL02";"MKTGL03_nlg",#N/A,FALSE,"MKTGL03";"MKTGL04_nlg",#N/A,FALSE,"MKTGL04";"PRJDV_sum_nlg",#N/A,FALSE,"PRJDV Sum";"PRJDV01_nlg",#N/A,FALSE,"PRJDV01";"PRJDV02_nlg",#N/A,FALSE,"PRJDV02";"MKTSL_nlg",#N/A,FALSE,"MKTSL";"Publicity_nlg",#N/A,FALSE,"PUBLICITY";"Training_nlg",#N/A,FALSE,"Training"}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nput._.Pages." hidden="1">{#N/A,#N/A,TRUE,"General Assumptions (Input)";#N/A,#N/A,TRUE,"Income (Input Page)";#N/A,#N/A,TRUE,"Related Mgmt Exps (Input Page)";#N/A,#N/A,TRUE,"Development Cost (Input)"}</definedName>
    <definedName name="wrn.Input._.Pages._.and._.Pro._.Forma." hidden="1">{#N/A,#N/A,TRUE,"General Assumptions (Input)";#N/A,#N/A,TRUE,"Related Mgmt Exps (Input Page)";#N/A,#N/A,TRUE,"Development Cost (Input)";#N/A,#N/A,TRUE,"Summary";#N/A,#N/A,TRUE,"Income (Input Page)";#N/A,#N/A,TRUE,"Expenses";#N/A,#N/A,TRUE,"Dev. Cost &amp; Elig. Basis(Input)";#N/A,#N/A,TRUE,"Tax Credit";#N/A,#N/A,TRUE,"Sources and Uses";#N/A,#N/A,TRUE,"Rent Up Reserve";#N/A,#N/A,TRUE,"Cash Flow";#N/A,#N/A,TRUE,"Construction Cash Flow"}</definedName>
    <definedName name="wrn.input._.sheet." hidden="1">{#N/A,#N/A,FALSE,"TICKERS INPUT SHEET"}</definedName>
    <definedName name="wrn.Kea." hidden="1">{"Keapg1",#N/A,FALSE,"Keane";"Keapg2",#N/A,FALSE,"Keane";"Keapg4",#N/A,FALSE,"Keane"}</definedName>
    <definedName name="wrn.KKK._.Review." hidden="1">{#N/A,#N/A,FALSE,"Cover";#N/A,#N/A,FALSE,"Profits";#N/A,#N/A,FALSE,"ABS";#N/A,#N/A,FALSE,"TFLE Detail";#N/A,#N/A,FALSE,"TFLE Walk";#N/A,#N/A,FALSE,"Variable Cost";#N/A,#N/A,FALSE,"V.C. Walk"}</definedName>
    <definedName name="wrn.KPI._.Charts." hidden="1">{"Chart",#N/A,FALSE,"MATL";"Chart",#N/A,FALSE,"LAB";"Chart",#N/A,FALSE,"EXP";"Chart",#N/A,FALSE,"QUAL";"Chart",#N/A,FALSE,"DEL";"Chart",#N/A,FALSE,"STK";"Chart",#N/A,FALSE,"hr";"Chart",#N/A,FALSE,"lead"}</definedName>
    <definedName name="wrn.manpower." hidden="1">{"manpower",#N/A,FALSE,"MANPOWER_PAYROLL"}</definedName>
    <definedName name="wrn.Master." hidden="1">{#N/A,#N/A,TRUE,"ProFormaProfit";#N/A,#N/A,TRUE,"ProFormaCash";#N/A,#N/A,TRUE,"Depreciation";#N/A,#N/A,TRUE,"Assets";#N/A,#N/A,TRUE,"Revenue";#N/A,#N/A,TRUE,"EstimatedPurchase"}</definedName>
    <definedName name="wrn.memo." hidden="1">{#N/A,#N/A,TRUE,"financial";#N/A,#N/A,TRUE,"plants"}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id._.Qtr._.Fcst.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odel." hidden="1">{"years",#N/A,FALSE,"UDR_INC";"9899qtrs",#N/A,FALSE,"UDR_INC";"9798qtrs",#N/A,FALSE,"UDR_INC"}</definedName>
    <definedName name="wrn.Multiples._.Calculation." hidden="1">{#N/A,#N/A,FALSE,"GCM Data Sum";#N/A,#N/A,FALSE,"TIC-Calculation";#N/A,#N/A,FALSE,"TIC  Multiples";#N/A,#N/A,FALSE,"P-E &amp; Price to Book Multiples";#N/A,#N/A,FALSE,"Margins-EBITDA-to-Growth"}</definedName>
    <definedName name="wrn.Nico." hidden="1">{#N/A,#N/A,TRUE,"Cover";#N/A,#N/A,TRUE,"Transaction Summary";#N/A,#N/A,TRUE,"Earnings Impact";#N/A,#N/A,TRUE,"accretion dilution"}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UTPUT." hidden="1">{"DCF","UPSIDE CASE",FALSE,"Sheet1";"DCF","BASE CASE",FALSE,"Sheet1";"DCF","DOWNSIDE CASE",FALSE,"Sheet1"}</definedName>
    <definedName name="wrn.POLIZA." localSheetId="8" hidden="1">{#N/A,#N/A,FALSE,"PD 006";#N/A,#N/A,FALSE,"TOTAL";#N/A,#N/A,FALSE,"VENTAS";#N/A,#N/A,FALSE,"VENTAS CUBA LIBRE"}</definedName>
    <definedName name="wrn.POLIZA." localSheetId="6" hidden="1">{#N/A,#N/A,FALSE,"PD 006";#N/A,#N/A,FALSE,"TOTAL";#N/A,#N/A,FALSE,"VENTAS";#N/A,#N/A,FALSE,"VENTAS CUBA LIBRE"}</definedName>
    <definedName name="wrn.POLIZA." localSheetId="7" hidden="1">{#N/A,#N/A,FALSE,"PD 006";#N/A,#N/A,FALSE,"TOTAL";#N/A,#N/A,FALSE,"VENTAS";#N/A,#N/A,FALSE,"VENTAS CUBA LIBRE"}</definedName>
    <definedName name="wrn.POLIZA." hidden="1">{#N/A,#N/A,FALSE,"PD 006";#N/A,#N/A,FALSE,"TOTAL";#N/A,#N/A,FALSE,"VENTAS";#N/A,#N/A,FALSE,"VENTAS CUBA LIBRE"}</definedName>
    <definedName name="wrn.POLIZAS." localSheetId="8" hidden="1">{#N/A,#N/A,FALSE,"POL";#N/A,#N/A,FALSE,"POL (2)";#N/A,#N/A,FALSE,"POL (3)";#N/A,#N/A,FALSE,"POL (4)"}</definedName>
    <definedName name="wrn.POLIZAS." localSheetId="6" hidden="1">{#N/A,#N/A,FALSE,"POL";#N/A,#N/A,FALSE,"POL (2)";#N/A,#N/A,FALSE,"POL (3)";#N/A,#N/A,FALSE,"POL (4)"}</definedName>
    <definedName name="wrn.POLIZAS." localSheetId="7" hidden="1">{#N/A,#N/A,FALSE,"POL";#N/A,#N/A,FALSE,"POL (2)";#N/A,#N/A,FALSE,"POL (3)";#N/A,#N/A,FALSE,"POL (4)"}</definedName>
    <definedName name="wrn.POLIZAS." hidden="1">{#N/A,#N/A,FALSE,"POL";#N/A,#N/A,FALSE,"POL (2)";#N/A,#N/A,FALSE,"POL (3)";#N/A,#N/A,FALSE,"POL (4)"}</definedName>
    <definedName name="wrn.porte" localSheetId="8" hidden="1">{#N/A,#N/A,FALSE,"HOJA 1";#N/A,#N/A,FALSE,"HOJA 2";#N/A,#N/A,FALSE,"HOJA 3";#N/A,#N/A,FALSE,"DATOS";#N/A,#N/A,FALSE,"IVA"}</definedName>
    <definedName name="wrn.porte" localSheetId="6" hidden="1">{#N/A,#N/A,FALSE,"HOJA 1";#N/A,#N/A,FALSE,"HOJA 2";#N/A,#N/A,FALSE,"HOJA 3";#N/A,#N/A,FALSE,"DATOS";#N/A,#N/A,FALSE,"IVA"}</definedName>
    <definedName name="wrn.porte" localSheetId="7" hidden="1">{#N/A,#N/A,FALSE,"HOJA 1";#N/A,#N/A,FALSE,"HOJA 2";#N/A,#N/A,FALSE,"HOJA 3";#N/A,#N/A,FALSE,"DATOS";#N/A,#N/A,FALSE,"IVA"}</definedName>
    <definedName name="wrn.porte" hidden="1">{#N/A,#N/A,FALSE,"HOJA 1";#N/A,#N/A,FALSE,"HOJA 2";#N/A,#N/A,FALSE,"HOJA 3";#N/A,#N/A,FALSE,"DATOS";#N/A,#N/A,FALSE,"IVA"}</definedName>
    <definedName name="wrn.Print.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sheets." hidden="1">{"summary",#N/A,FALSE,"Valuation Analysis";"assumptions1",#N/A,FALSE,"Valuation Analysis";"assumptions2",#N/A,FALSE,"Valuation Analysis"}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all." hidden="1">{"page1",#N/A,FALSE,"DCM";"page2",#N/A,FALSE,"DCM";"page3",#N/A,FALSE,"DCM";"page4",#N/A,FALSE,"DCM";"page5",#N/A,FALSE,"DCM";"page6",#N/A,FALSE,"DCM";"page7",#N/A,FALSE,"DCM";"page8",#N/A,FALSE,"DCM"}</definedName>
    <definedName name="wrn.Printing._.the._.transactions._.sheets." hidden="1">{#N/A,#N/A,FALSE,"Eastern";#N/A,#N/A,FALSE,"Western"}</definedName>
    <definedName name="wrn.product._.cost." hidden="1">{"product cost",#N/A,FALSE,"P&amp;L STATEMENT"}</definedName>
    <definedName name="wrn.Profit._.Analysis." hidden="1">{#N/A,#N/A,FALSE,"Profit Status";#N/A,#N/A,FALSE,"Invest";#N/A,#N/A,FALSE,"Revenue";#N/A,#N/A,FALSE,"Variable Cost";#N/A,#N/A,FALSE,"Options &amp; Series"}</definedName>
    <definedName name="wrn.Profit._.Report." hidden="1">{"NA",#N/A,TRUE,"Details BL1,2,4";"EA",#N/A,TRUE,"Details BL1,2,4"}</definedName>
    <definedName name="wrn.profit._.statement." hidden="1">{"profit statement",#N/A,FALSE,"P&amp;L STATEMENT"}</definedName>
    <definedName name="wrn.ProForma." hidden="1">{#N/A,#N/A,TRUE,"Summary";#N/A,#N/A,TRUE,"Income (Input Page)";#N/A,#N/A,TRUE,"Expenses";#N/A,#N/A,TRUE,"Dev. Cost &amp; Elig. Basis(Input)";#N/A,#N/A,TRUE,"Tax Credit";#N/A,#N/A,TRUE,"Sources and Uses";#N/A,#N/A,TRUE,"Rent Up Reserve";#N/A,#N/A,TRUE,"Cash Flow";#N/A,#N/A,TRUE,"Construction Cash Flow"}</definedName>
    <definedName name="wrn.Projected._.Data._.and._.Subject._.Company._.Data." hidden="1">{#N/A,#N/A,FALSE,"Projected Data &amp; SUBJECT-INPUTS"}</definedName>
    <definedName name="wrn.Pulp." hidden="1">{"Pulp Production",#N/A,FALSE,"Pulp";"Pulp Earnings",#N/A,FALSE,"Pulp"}</definedName>
    <definedName name="wrn.QOS._.Sheets._.all." hidden="1">{"Full Sheet",#N/A,FALSE,"MATL";"Full Sheet",#N/A,FALSE,"LAB";"Full Sheet",#N/A,FALSE,"EXP";"Full Sheet",#N/A,FALSE,"QUAL";"Full Sheet",#N/A,FALSE,"DEL";"Full Sheet",#N/A,FALSE,"STK";"Full Sheet",#N/A,FALSE,"hr";"Full Sheet",#N/A,FALSE,"lead";"Full Sheet",#N/A,FALSE,"hkp"}</definedName>
    <definedName name="wrn.QOS._.Sheets._.Top._.6." hidden="1">{"Full Sheet",#N/A,FALSE,"MATL";"Full Sheet",#N/A,FALSE,"LAB";"Full Sheet",#N/A,FALSE,"EXP";"Full Sheet",#N/A,FALSE,"QUAL";"Full Sheet",#N/A,FALSE,"DEL";"Full Sheet",#N/A,FALSE,"STK"}</definedName>
    <definedName name="wrn.REMO.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Report.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_.1." hidden="1">{"All Years",#N/A,FALSE,"All Years";"1998",#N/A,FALSE,"1998 Roney";"1999",#N/A,FALSE,"1999 Roney";"Q3 99",#N/A,FALSE,"YTDQ3-1999 Roney";"Q4 99",#N/A,FALSE,"Q4 1999 Forecast";"2000",#N/A,FALSE,"2000 Roney"}</definedName>
    <definedName name="wrn.Report1." hidden="1">{#N/A,#N/A,FALSE,"Operations";#N/A,#N/A,FALSE,"Financials"}</definedName>
    <definedName name="wrn.REPORTE." localSheetId="8" hidden="1">{#N/A,#N/A,FALSE,"HOJA 1";#N/A,#N/A,FALSE,"HOJA 2";#N/A,#N/A,FALSE,"HOJA 3";#N/A,#N/A,FALSE,"DATOS";#N/A,#N/A,FALSE,"IVA"}</definedName>
    <definedName name="wrn.REPORTE." localSheetId="6" hidden="1">{#N/A,#N/A,FALSE,"HOJA 1";#N/A,#N/A,FALSE,"HOJA 2";#N/A,#N/A,FALSE,"HOJA 3";#N/A,#N/A,FALSE,"DATOS";#N/A,#N/A,FALSE,"IVA"}</definedName>
    <definedName name="wrn.REPORTE." localSheetId="7" hidden="1">{#N/A,#N/A,FALSE,"HOJA 1";#N/A,#N/A,FALSE,"HOJA 2";#N/A,#N/A,FALSE,"HOJA 3";#N/A,#N/A,FALSE,"DATOS";#N/A,#N/A,FALSE,"IVA"}</definedName>
    <definedName name="wrn.REPORTE." hidden="1">{#N/A,#N/A,FALSE,"HOJA 1";#N/A,#N/A,FALSE,"HOJA 2";#N/A,#N/A,FALSE,"HOJA 3";#N/A,#N/A,FALSE,"DATOS";#N/A,#N/A,FALSE,"IVA"}</definedName>
    <definedName name="wrn.REVALUACION." localSheetId="8" hidden="1">{#N/A,#N/A,FALSE,"9";#N/A,#N/A,FALSE,"9 A";#N/A,#N/A,FALSE,"9B";#N/A,#N/A,FALSE,"9C";#N/A,#N/A,FALSE,"9D"}</definedName>
    <definedName name="wrn.REVALUACION." localSheetId="6" hidden="1">{#N/A,#N/A,FALSE,"9";#N/A,#N/A,FALSE,"9 A";#N/A,#N/A,FALSE,"9B";#N/A,#N/A,FALSE,"9C";#N/A,#N/A,FALSE,"9D"}</definedName>
    <definedName name="wrn.REVALUACION." localSheetId="7" hidden="1">{#N/A,#N/A,FALSE,"9";#N/A,#N/A,FALSE,"9 A";#N/A,#N/A,FALSE,"9B";#N/A,#N/A,FALSE,"9C";#N/A,#N/A,FALSE,"9D"}</definedName>
    <definedName name="wrn.REVALUACION." hidden="1">{#N/A,#N/A,FALSE,"9";#N/A,#N/A,FALSE,"9 A";#N/A,#N/A,FALSE,"9B";#N/A,#N/A,FALSE,"9C";#N/A,#N/A,FALSE,"9D"}</definedName>
    <definedName name="wrn.review." hidden="1">{"review",#N/A,FALSE,"FACTSHT"}</definedName>
    <definedName name="wrn.review1." hidden="1">{"review",#N/A,FALSE,"FACTSHT"}</definedName>
    <definedName name="wrn.sales" hidden="1">{"manpower",#N/A,FALSE,"MANPOWER_PAYROLL"}</definedName>
    <definedName name="wrn.sales." hidden="1">{"sales",#N/A,FALSE,"Sales";"sales existing",#N/A,FALSE,"Sales";"sales rd1",#N/A,FALSE,"Sales";"sales rd2",#N/A,FALSE,"Sales"}</definedName>
    <definedName name="wrn.Sales._.Funnel._.Analysis._.2." hidden="1">{#N/A,#N/A,TRUE,"Funnel";#N/A,#N/A,TRUE,"FunnelMatrix"}</definedName>
    <definedName name="wrn.sample." hidden="1">{"sample",#N/A,FALSE,"Client Input Sheet"}</definedName>
    <definedName name="wrn.Sape." hidden="1">{"Sapepg1",#N/A,FALSE,"SAPE";"Sapepg2",#N/A,FALSE,"SAPE";"Sapepg3",#N/A,FALSE,"SAPE";"Sapepg4",#N/A,FALSE,"SAPE"}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ns." hidden="1">{#N/A,#N/A,FALSE,"Sensitivities";#N/A,#N/A,FALSE,"Sensitivities2"}</definedName>
    <definedName name="wrn.sensitivity._.analyses." hidden="1">{"general",#N/A,FALSE,"Assumptions"}</definedName>
    <definedName name="wrn.sga._.expense." hidden="1">{"sga expense",#N/A,FALSE,"S,G&amp;A EXP"}</definedName>
    <definedName name="wrn.SHORT." hidden="1">{"CREDIT STATISTICS",#N/A,FALSE,"STATS";"CF_AND_IS",#N/A,FALSE,"PLAN";"BALSHEET",#N/A,FALSE,"BALANCE SHEET"}</definedName>
    <definedName name="wrn.stand_alone." hidden="1">{#N/A,#N/A,FALSE,"CBE";#N/A,#N/A,FALSE,"SWK"}</definedName>
    <definedName name="wrn.STATEMENTS." localSheetId="8" hidden="1">{#N/A,#N/A,FALSE,"BALANCE SHEET";#N/A,#N/A,FALSE,"INCOME STATEMENT";#N/A,#N/A,FALSE,"TRIAL BALANCE"}</definedName>
    <definedName name="wrn.STATEMENTS." localSheetId="6" hidden="1">{#N/A,#N/A,FALSE,"BALANCE SHEET";#N/A,#N/A,FALSE,"INCOME STATEMENT";#N/A,#N/A,FALSE,"TRIAL BALANCE"}</definedName>
    <definedName name="wrn.STATEMENTS." localSheetId="7" hidden="1">{#N/A,#N/A,FALSE,"BALANCE SHEET";#N/A,#N/A,FALSE,"INCOME STATEMENT";#N/A,#N/A,FALSE,"TRIAL BALANCE"}</definedName>
    <definedName name="wrn.STATEMENTS." hidden="1">{#N/A,#N/A,FALSE,"BALANCE SHEET";#N/A,#N/A,FALSE,"INCOME STATEMENT";#N/A,#N/A,FALSE,"TRIAL BALANCE"}</definedName>
    <definedName name="wrn.SUMM_ADDITIONAL." hidden="1">{"SUMM_ADDITIONAL",#N/A,FALSE,"PHN_SUMMARY"}</definedName>
    <definedName name="wrn.summ4." hidden="1">{#N/A,#N/A,FALSE,"summ";#N/A,#N/A,FALSE,"q1";#N/A,#N/A,FALSE,"summ_alt";#N/A,#N/A,FALSE,"stock_nozero";#N/A,#N/A,FALSE,"1995"}</definedName>
    <definedName name="wrn.Summary." hidden="1">{#N/A,#N/A,FALSE,"Summary3";#N/A,#N/A,FALSE,"Summary1";#N/A,#N/A,FALSE,"Summary2";#N/A,#N/A,FALSE,"Sensitivities1";#N/A,#N/A,FALSE,"Sensitivities2"}</definedName>
    <definedName name="wrn.Summary._.Financials." hidden="1">{"Balance Sheet",#N/A,FALSE,"Annual Summary";"Cashflows",#N/A,FALSE,"Annual Summary";"Summary Earnings",#N/A,FALSE,"Annual Summary"}</definedName>
    <definedName name="wrn.TARGET._.DCF." hidden="1">{"targetdcf",#N/A,FALSE,"Merger consequences";"TARGETASSU",#N/A,FALSE,"Merger consequences";"TERMINAL VALUE",#N/A,FALSE,"Merger consequences"}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ROLD._.MANPOWER._.ONLY." hidden="1">{"MANPOWER ONLY",#N/A,FALSE,"THOR_Mnpwr"}</definedName>
    <definedName name="wrn.THOROLD._.NO._.ASSY._.COMPLETE." hidden="1">{"THOROLD NO ASSY COMPLETE",#N/A,FALSE,"THOR_Mnpwr"}</definedName>
    <definedName name="wrn.THOROLD._.WITH._.ASSY." hidden="1">{"THOROLD WITH ASSY",#N/A,FALSE,"THOR_Mnpwr"}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talcomp." hidden="1">{"comp1",#N/A,FALSE,"COMPS";"footnotes",#N/A,FALSE,"COMPS"}</definedName>
    <definedName name="wrn.trans._.sum." hidden="1">{"trans assumptions",#N/A,FALSE,"Merger";"trans accretion",#N/A,FALSE,"Merger"}</definedName>
    <definedName name="wrn.up." hidden="1">{"up stand alones",#N/A,FALSE,"Acquiror"}</definedName>
    <definedName name="wrn.Usinor.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rn.VC2._.and._.VC3._.Thunderbird." hidden="1">{#N/A,#N/A,FALSE,"Cover";#N/A,#N/A,FALSE,"Assumptions";#N/A,#N/A,FALSE,"Volumes";#N/A,#N/A,FALSE,"Pricing";#N/A,#N/A,FALSE,"TFLE Walk";#N/A,#N/A,FALSE,"Variable Cost";#N/A,#N/A,FALSE,"Sensitivity";#N/A,#N/A,FALSE,"Investment";#N/A,#N/A,FALSE,"Profitability"}</definedName>
    <definedName name="wrn.Wacc." hidden="1">{"Area1",#N/A,FALSE,"OREWACC";"Area2",#N/A,FALSE,"OREWACC"}</definedName>
    <definedName name="wrn.works._.expense." hidden="1">{"works expense",#N/A,FALSE,"WORKS EXPENSE"}</definedName>
    <definedName name="wrn.Worksheet." hidden="1">{"Material",#N/A,FALSE,"Material";"Labour",#N/A,FALSE,"Labour";"Summary",#N/A,FALSE,"Summary"}</definedName>
    <definedName name="wrn1.fullreport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1.printall" hidden="1">{"page1",#N/A,FALSE,"DCM";"page2",#N/A,FALSE,"DCM";"page3",#N/A,FALSE,"DCM";"page4",#N/A,FALSE,"DCM";"page5",#N/A,FALSE,"DCM";"page6",#N/A,FALSE,"DCM";"page7",#N/A,FALSE,"DCM";"page8",#N/A,FALSE,"DCM"}</definedName>
    <definedName name="wrn2.capital" hidden="1">{"capital",#N/A,FALSE,"CAPITAL_DEP'N"}</definedName>
    <definedName name="WRN2.Document" hidden="1">{"consolidated",#N/A,FALSE,"Sheet1";"cms",#N/A,FALSE,"Sheet1";"fse",#N/A,FALSE,"Sheet1"}</definedName>
    <definedName name="wrn2.manpower" hidden="1">{"manpower",#N/A,FALSE,"MANPOWER_PAYROLL"}</definedName>
    <definedName name="wrn2.product._.cost." hidden="1">{"product cost",#N/A,FALSE,"P&amp;L STATEMENT"}</definedName>
    <definedName name="wrn2.profit._.statement." hidden="1">{"profit statement",#N/A,FALSE,"P&amp;L STATEMENT"}</definedName>
    <definedName name="wrn2.sga._.expense." hidden="1">{"sga expense",#N/A,FALSE,"S,G&amp;A EXP"}</definedName>
    <definedName name="wrn2.works._.expense." hidden="1">{"works expense",#N/A,FALSE,"WORKS EXPENSE"}</definedName>
    <definedName name="wrnB_qtr" hidden="1">{"C COM Detail Qtr of",#N/A,FALSE,"DATA";"D Exp Detail Qtr of",#N/A,FALSE,"DATA"}</definedName>
    <definedName name="wrnC" hidden="1">{"A COM Detail YTD",#N/A,FALSE,"DATA";"B Exp Detail YTD",#N/A,FALSE,"DATA"}</definedName>
    <definedName name="wrnD" hidden="1">{"A Performance Report",#N/A,FALSE,"%Performance"}</definedName>
    <definedName name="wrnMid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s" hidden="1">{"years",#N/A,FALSE,"UDR_INC";"9899qtrs",#N/A,FALSE,"UDR_INC";"9798qtrs",#N/A,FALSE,"UDR_INC"}</definedName>
    <definedName name="wvu.Détails." hidden="1">{TRUE,TRUE,-1.25,-15.5,604.5,366.75,FALSE,TRUE,TRUE,TRUE,0,1,#N/A,1,#N/A,6.54838709677419,31.3076923076923,1,FALSE,FALSE,3,TRUE,1,FALSE,75,"Swvu.Détails.","ACwvu.Détails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",TRUE,TRUE,FALSE,TRUE,1,#N/A,1,1,"=R1C1:R60C24","=R1:R5",#N/A,#N/A,FALSE,FALSE,FALSE,5,65532,65532,FALSE,FALSE,TRUE,TRUE,TRUE}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ommaire." hidden="1">{TRUE,TRUE,-1.25,-15.5,604.5,366.75,FALSE,TRUE,TRUE,TRUE,0,1,2,1,6,1,5,4,TRUE,TRUE,3,TRUE,1,TRUE,75,"Swvu.Sommaire.","ACwvu.Sommaire.",#N/A,FALSE,FALSE,0.15748031496063,0.15748031496063,0.748031496062992,0.511811023622047,2,"&amp;C&amp;""Arial,Gras""&amp;20DISNEY  -  PRODUCTION  BUDGET&amp;R&amp;""Arial,Gras""&amp;20SUMMARY","&amp;L&amp;F  -  &amp;A&amp;C&amp;""Arial,Gras""&amp;D&amp;""Arial,Normal""  -  &amp;T&amp;RPage
",TRUE,TRUE,FALSE,TRUE,1,#N/A,1,1,"=R1C1:R60C24","=R1:R5","Rwvu.Sommaire.",#N/A,FALSE,FALSE,FALSE,5,65532,65532,FALSE,FALSE,TRUE,TRUE,TRUE}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" hidden="1">{"A COM Detail YTD",#N/A,FALSE,"DATA";"B Exp Detail YTD",#N/A,FALSE,"DATA";"C COM Detail Qtr of",#N/A,FALSE,"DATA";"D Exp Detail Qtr of",#N/A,FALSE,"DATA";"A Performance Report",#N/A,FALSE,"%Performance"}</definedName>
    <definedName name="xb" hidden="1">#REF!</definedName>
    <definedName name="xbxvc" hidden="1">{"capital",#N/A,FALSE,"CAPITAL_DEP'N"}</definedName>
    <definedName name="xgf" hidden="1">{"product cost",#N/A,FALSE,"P&amp;L STATEMENT"}</definedName>
    <definedName name="xm" hidden="1">#REF!</definedName>
    <definedName name="xn" hidden="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localSheetId="6" hidden="1">#REF!</definedName>
    <definedName name="XREF_COLUMN_15" hidden="1">#REF!</definedName>
    <definedName name="XREF_COLUMN_16" localSheetId="6" hidden="1">#REF!</definedName>
    <definedName name="XREF_COLUMN_16" hidden="1">#REF!</definedName>
    <definedName name="XREF_COLUMN_17" localSheetId="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</definedName>
    <definedName name="XRefCopy1" hidden="1">#REF!</definedName>
    <definedName name="XRefCopy10" hidden="1">#REF!</definedName>
    <definedName name="XRefCopy11" hidden="1">#REF!</definedName>
    <definedName name="XRefCopy12" hidden="1">#REF!</definedName>
    <definedName name="XRefCopy13" hidden="1">#REF!</definedName>
    <definedName name="XRefCopy14" hidden="1">#REF!</definedName>
    <definedName name="XRefCopy15" hidden="1">#REF!</definedName>
    <definedName name="XRefCopy15Row" localSheetId="6" hidden="1">#REF!</definedName>
    <definedName name="XRefCopy15Row" hidden="1">#REF!</definedName>
    <definedName name="XRefCopy16" hidden="1">#REF!</definedName>
    <definedName name="XRefCopy16Row" localSheetId="6" hidden="1">#REF!</definedName>
    <definedName name="XRefCopy16Row" hidden="1">#REF!</definedName>
    <definedName name="XRefCopy17" localSheetId="6" hidden="1">#REF!</definedName>
    <definedName name="XRefCopy17" hidden="1">#REF!</definedName>
    <definedName name="XRefCopy17Row" localSheetId="6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2" hidden="1">#REF!</definedName>
    <definedName name="XRefCopy20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4" hidden="1">#REF!</definedName>
    <definedName name="XRefCopy24Row" hidden="1">#REF!</definedName>
    <definedName name="XRefCopy25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9" hidden="1">#REF!</definedName>
    <definedName name="XRefCopy29Row" hidden="1">#REF!</definedName>
    <definedName name="XRefCopy3" hidden="1">#REF!</definedName>
    <definedName name="XRefCopy30" hidden="1">#REF!</definedName>
    <definedName name="XRefCopy31" hidden="1">#REF!</definedName>
    <definedName name="XRefCopy31Row" hidden="1">#REF!</definedName>
    <definedName name="XRefCopy32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7" hidden="1">#REF!</definedName>
    <definedName name="XRefCopy37Row" hidden="1">#REF!</definedName>
    <definedName name="XRefCopy38" hidden="1">#REF!</definedName>
    <definedName name="XRefCopy39" hidden="1">#REF!</definedName>
    <definedName name="XRefCopy39Row" hidden="1">#REF!</definedName>
    <definedName name="XRefCopy4" hidden="1">#REF!</definedName>
    <definedName name="XRefCopy40" hidden="1">#REF!</definedName>
    <definedName name="XRefCopy41" hidden="1">#REF!</definedName>
    <definedName name="XRefCopy41Row" hidden="1">#REF!</definedName>
    <definedName name="XRefCopy42" hidden="1">#REF!</definedName>
    <definedName name="XRefCopy5" hidden="1">#REF!</definedName>
    <definedName name="XRefCopy6" hidden="1">#REF!</definedName>
    <definedName name="XRefCopy7" hidden="1">#REF!</definedName>
    <definedName name="XRefCopy8" hidden="1">#REF!</definedName>
    <definedName name="XRefCopy9" hidden="1">#REF!</definedName>
    <definedName name="XRefCopyRangeCount" hidden="1">8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2" hidden="1">#REF!</definedName>
    <definedName name="XRefPaste3" hidden="1">#REF!</definedName>
    <definedName name="XRefPaste4" hidden="1">#REF!</definedName>
    <definedName name="XRefPaste5" hidden="1">#REF!</definedName>
    <definedName name="XRefPaste6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5</definedName>
    <definedName name="xs" hidden="1">{"years",#N/A,FALSE,"UDR_INC";"9899qtrs",#N/A,FALSE,"UDR_INC";"9798qtrs",#N/A,FALSE,"UDR_INC"}</definedName>
    <definedName name="xvbxdbr" hidden="1">{"product cost",#N/A,FALSE,"P&amp;L STATEMENT"}</definedName>
    <definedName name="xxx" hidden="1">{#N/A,#N/A,FALSE,"Cover";#N/A,#N/A,FALSE,"Profits";#N/A,#N/A,FALSE,"ABS";#N/A,#N/A,FALSE,"TFLE Detail";#N/A,#N/A,FALSE,"TFLE Walk";#N/A,#N/A,FALSE,"Variable Cost";#N/A,#N/A,FALSE,"V.C. Walk"}</definedName>
    <definedName name="xxxx1" hidden="1">{#N/A,#N/A,TRUE,"Funnel";#N/A,#N/A,TRUE,"FunnelMatrix"}</definedName>
    <definedName name="xxxx2" hidden="1">{#N/A,#N/A,TRUE,"Funnel";#N/A,#N/A,TRUE,"FunnelMatrix"}</definedName>
    <definedName name="XXXXXX" hidden="1">{"profit statement",#N/A,FALSE,"P&amp;L STATEMENT"}</definedName>
    <definedName name="xxxxxxxxxx" hidden="1">#REF!</definedName>
    <definedName name="xyz" hidden="1">{"A COM Detail YTD",#N/A,FALSE,"DATA";"B Exp Detail YTD",#N/A,FALSE,"DATA";"C COM Detail Qtr of",#N/A,FALSE,"DATA";"D Exp Detail Qtr of",#N/A,FALSE,"DATA";"A Performance Report",#N/A,FALSE,"%Performance"}</definedName>
    <definedName name="y" hidden="1">{#N/A,#N/A,TRUE,"MEMO";#N/A,#N/A,TRUE,"COMMITMENT";#N/A,#N/A,TRUE,"PRODCAL";#N/A,#N/A,TRUE,"BUDGET";#N/A,#N/A,TRUE,"PRODMOD";#N/A,#N/A,TRUE,"JPD";#N/A,#N/A,TRUE,"DAILY  RATE";#N/A,#N/A,TRUE,"Comprod";#N/A,#N/A,TRUE,"Monthly Rate ´98";#N/A,#N/A,TRUE,"Monthly Prod ´98";#N/A,#N/A,TRUE,"PROG. BY MOD. YEAR";#N/A,#N/A,TRUE,"VENEZUELA";#N/A,#N/A,TRUE,"COLOMBIA";#N/A,#N/A,TRUE,"ECUADOR";#N/A,#N/A,TRUE,"Calendar Year  1998"}</definedName>
    <definedName name="yes" hidden="1">{"product cost",#N/A,FALSE,"P&amp;L STATEMENT"}</definedName>
    <definedName name="yesterday" hidden="1">#REF!</definedName>
    <definedName name="YY" localSheetId="8" hidden="1">{#N/A,#N/A,TRUE,"HOJA 1 (P)";#N/A,#N/A,TRUE,"HOJA 2 (P)";#N/A,#N/A,TRUE,"HOJA 3 (P)";#N/A,#N/A,TRUE,"HOJA 4 (P)"}</definedName>
    <definedName name="YY" localSheetId="6" hidden="1">{#N/A,#N/A,TRUE,"HOJA 1 (P)";#N/A,#N/A,TRUE,"HOJA 2 (P)";#N/A,#N/A,TRUE,"HOJA 3 (P)";#N/A,#N/A,TRUE,"HOJA 4 (P)"}</definedName>
    <definedName name="YY" localSheetId="7" hidden="1">{#N/A,#N/A,TRUE,"HOJA 1 (P)";#N/A,#N/A,TRUE,"HOJA 2 (P)";#N/A,#N/A,TRUE,"HOJA 3 (P)";#N/A,#N/A,TRUE,"HOJA 4 (P)"}</definedName>
    <definedName name="YY" hidden="1">{#N/A,#N/A,TRUE,"HOJA 1 (P)";#N/A,#N/A,TRUE,"HOJA 2 (P)";#N/A,#N/A,TRUE,"HOJA 3 (P)";#N/A,#N/A,TRUE,"HOJA 4 (P)"}</definedName>
    <definedName name="yyyyyyyyyy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z" hidden="1">{"Pgm Mngt S/P",#N/A,FALSE,"Prg Mgt";"Govt Rltns S/P",#N/A,FALSE,"Govt Rltns";"HR S/P",#N/A,FALSE,"HR";"B&amp;A S/P",#N/A,FALSE,"B&amp;A";"Prjt Cntrl S/P",#N/A,FALSE,"Prjct Cntrls";"Contracts S/P",#N/A,FALSE,"Cntrct";"QA S/P",#N/A,FALSE,"QA";"IT S/P",#N/A,FALSE,"IT";"DC S/P",#N/A,FALSE,"DC";"PMM S/P",#N/A,FALSE,"PMM";"HSE S/P",#N/A,FALSE,"HSE";"ENG'G S/P",#N/A,FALSE,"Eng'g";"Comm'g S/P",#N/A,FALSE,"Comm'g";"Const SP",#N/A,FALSE,"Cnstrctn";"Construction SP1",#N/A,FALSE,"Cnstrctn"}</definedName>
    <definedName name="Z_0DF4CCD5_BD29_11D2_B943_0050040AC21C_.wvu.FilterData" hidden="1">#REF!</definedName>
    <definedName name="Z_124E5910_83F9_11D4_AE5F_0050DA7CB416_.wvu.PrintArea" hidden="1">#REF!</definedName>
    <definedName name="Z_124E5911_83F9_11D4_AE5F_0050DA7CB416_.wvu.Cols" hidden="1">#REF!</definedName>
    <definedName name="Z_124E5911_83F9_11D4_AE5F_0050DA7CB416_.wvu.PrintArea" hidden="1">#REF!</definedName>
    <definedName name="Z_1906290E_BC61_11D2_B941_0050040AC21C_.wvu.FilterData" hidden="1">#REF!</definedName>
    <definedName name="Z_19062910_BC61_11D2_B941_0050040AC21C_.wvu.FilterData" hidden="1">#REF!</definedName>
    <definedName name="Z_2DF11753_B84B_11D2_B93A_0050040AC227_.wvu.PrintArea" hidden="1">#REF!</definedName>
    <definedName name="Z_4C1CBF02_B7B5_11D2_B93A_0050040AC21C_.wvu.FilterData" hidden="1">#REF!</definedName>
    <definedName name="Z_4C1CBF02_B7B5_11D2_B93A_0050040AC21C_.wvu.PrintArea" hidden="1">#REF!</definedName>
    <definedName name="Z_4C1CBF02_B7B5_11D2_B93A_0050040AC21C_.wvu.PrintTitles" hidden="1">#REF!</definedName>
    <definedName name="Z_4FA7459B_7D59_11D3_B819_444553540000_.wvu.Cols" hidden="1">#REF!,#REF!</definedName>
    <definedName name="Z_4FA7459B_7D59_11D3_B819_444553540000_.wvu.Rows" hidden="1">#REF!</definedName>
    <definedName name="Z_66231A85_C0F1_11D2_B93B_0050040AC227_.wvu.FilterData" hidden="1">#REF!</definedName>
    <definedName name="Z_66231A86_C0F1_11D2_B93B_0050040AC227_.wvu.FilterData" hidden="1">#REF!</definedName>
    <definedName name="Z_A99CC723_C1C7_11D2_B941_0050040AC228_.wvu.FilterData" hidden="1">#REF!</definedName>
    <definedName name="Z_A99CC729_C1C7_11D2_B941_0050040AC228_.wvu.FilterData" hidden="1">#REF!</definedName>
    <definedName name="Z_A99CC733_C1C7_11D2_B941_0050040AC228_.wvu.FilterData" hidden="1">#REF!</definedName>
    <definedName name="Z_A99CC736_C1C7_11D2_B941_0050040AC228_.wvu.FilterData" hidden="1">#REF!</definedName>
    <definedName name="Z_C9FB2A72_5C56_11D3_AD66_0050040A13CD_.wvu.PrintArea" hidden="1">#REF!</definedName>
    <definedName name="Z_C9FB2A72_5C56_11D3_AD66_0050040A13CD_.wvu.PrintTitles" hidden="1">#REF!</definedName>
    <definedName name="Z_C9FB2A73_5C56_11D3_AD66_0050040A13CD_.wvu.PrintArea" hidden="1">#REF!</definedName>
    <definedName name="Z_C9FB2A73_5C56_11D3_AD66_0050040A13CD_.wvu.PrintTitles" hidden="1">#REF!</definedName>
    <definedName name="Z_C9FB2A75_5C56_11D3_AD66_0050040A13CD_.wvu.PrintArea" hidden="1">#REF!</definedName>
    <definedName name="Z_C9FB2A75_5C56_11D3_AD66_0050040A13CD_.wvu.PrintTitles" hidden="1">#REF!</definedName>
    <definedName name="Z_C9FB2A76_5C56_11D3_AD66_0050040A13CD_.wvu.PrintArea" hidden="1">#REF!</definedName>
    <definedName name="Z_C9FB2A76_5C56_11D3_AD66_0050040A13CD_.wvu.PrintTitles" hidden="1">#REF!</definedName>
    <definedName name="Z_C9FB2A77_5C56_11D3_AD66_0050040A13CD_.wvu.PrintArea" hidden="1">#REF!</definedName>
    <definedName name="Z_C9FB2A77_5C56_11D3_AD66_0050040A13CD_.wvu.PrintTitles" hidden="1">#REF!</definedName>
    <definedName name="Z_C9FB2A79_5C56_11D3_AD66_0050040A13CD_.wvu.PrintArea" hidden="1">#REF!</definedName>
    <definedName name="Z_C9FB2A79_5C56_11D3_AD66_0050040A13CD_.wvu.PrintTitles" hidden="1">#REF!</definedName>
    <definedName name="Z_D782F750_C0FB_11D2_B941_0050040AC228_.wvu.FilterData" hidden="1">#REF!</definedName>
    <definedName name="Z_DC379DF6_BBB3_11D2_B93F_0050040AC228_.wvu.FilterData" hidden="1">#REF!</definedName>
    <definedName name="Z_ED7DF65E_BB85_11D2_B93F_0050040AC228_.wvu.FilterData" hidden="1">#REF!</definedName>
    <definedName name="Z_F0315699_C47B_4489_98A6_E8E19E85A6CB_.wvu.FilterData" hidden="1">#REF!</definedName>
    <definedName name="Z_F0315699_C47B_4489_98A6_E8E19E85A6CB_.wvu.PrintArea" hidden="1">#REF!</definedName>
    <definedName name="Z_F14718EE_5AC2_11D3_AD63_0050040A13CD_.wvu.PrintArea" hidden="1">#REF!</definedName>
    <definedName name="Z_F14718EF_5AC2_11D3_AD63_0050040A13CD_.wvu.PrintArea" hidden="1">#REF!</definedName>
    <definedName name="Z_F14718F1_5AC2_11D3_AD63_0050040A13CD_.wvu.PrintArea" hidden="1">#REF!</definedName>
    <definedName name="Z_F14718F2_5AC2_11D3_AD63_0050040A13CD_.wvu.PrintArea" hidden="1">#REF!</definedName>
    <definedName name="Z_F14718F3_5AC2_11D3_AD63_0050040A13CD_.wvu.PrintArea" hidden="1">#REF!</definedName>
    <definedName name="Z_F14718F5_5AC2_11D3_AD63_0050040A13CD_.wvu.PrintArea" hidden="1">#REF!</definedName>
    <definedName name="Z_F1471909_5AC2_11D3_AD63_0050040A13CD_.wvu.PrintArea" hidden="1">#REF!</definedName>
    <definedName name="Z_F1471909_5AC2_11D3_AD63_0050040A13CD_.wvu.PrintTitles" hidden="1">#REF!</definedName>
    <definedName name="Z_F147190A_5AC2_11D3_AD63_0050040A13CD_.wvu.PrintArea" hidden="1">#REF!</definedName>
    <definedName name="Z_F147190A_5AC2_11D3_AD63_0050040A13CD_.wvu.PrintTitles" hidden="1">#REF!</definedName>
    <definedName name="Z_F147190C_5AC2_11D3_AD63_0050040A13CD_.wvu.PrintArea" hidden="1">#REF!</definedName>
    <definedName name="Z_F147190C_5AC2_11D3_AD63_0050040A13CD_.wvu.PrintTitles" hidden="1">#REF!</definedName>
    <definedName name="Z_F147190D_5AC2_11D3_AD63_0050040A13CD_.wvu.PrintArea" hidden="1">#REF!</definedName>
    <definedName name="Z_F147190D_5AC2_11D3_AD63_0050040A13CD_.wvu.PrintTitles" hidden="1">#REF!</definedName>
    <definedName name="Z_F147190E_5AC2_11D3_AD63_0050040A13CD_.wvu.PrintArea" hidden="1">#REF!</definedName>
    <definedName name="Z_F147190E_5AC2_11D3_AD63_0050040A13CD_.wvu.PrintTitles" hidden="1">#REF!</definedName>
    <definedName name="Z_F1471910_5AC2_11D3_AD63_0050040A13CD_.wvu.PrintArea" hidden="1">#REF!</definedName>
    <definedName name="Z_F1471910_5AC2_11D3_AD63_0050040A13CD_.wvu.PrintTitles" hidden="1">#REF!</definedName>
    <definedName name="Z_F1471912_5AC2_11D3_AD63_0050040A13CD_.wvu.PrintArea" hidden="1">#REF!</definedName>
    <definedName name="Z_F1471912_5AC2_11D3_AD63_0050040A13CD_.wvu.PrintTitles" hidden="1">#REF!</definedName>
    <definedName name="Z_F1471913_5AC2_11D3_AD63_0050040A13CD_.wvu.PrintArea" hidden="1">#REF!</definedName>
    <definedName name="Z_F1471913_5AC2_11D3_AD63_0050040A13CD_.wvu.PrintTitles" hidden="1">#REF!</definedName>
    <definedName name="Z_F1471915_5AC2_11D3_AD63_0050040A13CD_.wvu.PrintArea" hidden="1">#REF!</definedName>
    <definedName name="Z_F1471915_5AC2_11D3_AD63_0050040A13CD_.wvu.PrintTitles" hidden="1">#REF!</definedName>
    <definedName name="Z_F1471916_5AC2_11D3_AD63_0050040A13CD_.wvu.PrintArea" hidden="1">#REF!</definedName>
    <definedName name="Z_F1471916_5AC2_11D3_AD63_0050040A13CD_.wvu.PrintTitles" hidden="1">#REF!</definedName>
    <definedName name="Z_F1471917_5AC2_11D3_AD63_0050040A13CD_.wvu.PrintArea" hidden="1">#REF!</definedName>
    <definedName name="Z_F1471917_5AC2_11D3_AD63_0050040A13CD_.wvu.PrintTitles" hidden="1">#REF!</definedName>
    <definedName name="Z_F1471919_5AC2_11D3_AD63_0050040A13CD_.wvu.PrintArea" hidden="1">#REF!</definedName>
    <definedName name="Z_F1471919_5AC2_11D3_AD63_0050040A13CD_.wvu.PrintTitles" hidden="1">#REF!</definedName>
    <definedName name="za" hidden="1">#REF!</definedName>
    <definedName name="zc" hidden="1">#REF!</definedName>
    <definedName name="zd" hidden="1">#REF!</definedName>
    <definedName name="ze" hidden="1">#REF!</definedName>
    <definedName name="zg" hidden="1">#REF!</definedName>
    <definedName name="zh" hidden="1">#REF!</definedName>
    <definedName name="zi" hidden="1">#REF!</definedName>
    <definedName name="zj" hidden="1">#REF!</definedName>
    <definedName name="zk" hidden="1">#REF!</definedName>
    <definedName name="zl" hidden="1">#REF!</definedName>
    <definedName name="zm" hidden="1">#REF!</definedName>
    <definedName name="zn" hidden="1">#REF!</definedName>
    <definedName name="zo" hidden="1">#REF!</definedName>
    <definedName name="zq" hidden="1">#REF!</definedName>
    <definedName name="zr" hidden="1">#REF!</definedName>
    <definedName name="zs" hidden="1">#REF!</definedName>
    <definedName name="zt" hidden="1">#REF!</definedName>
    <definedName name="zu" hidden="1">#REF!</definedName>
    <definedName name="zv" hidden="1">#REF!</definedName>
    <definedName name="zvcsafg" hidden="1">{"product cost",#N/A,FALSE,"P&amp;L STATEMENT"}</definedName>
    <definedName name="zw" hidden="1">#REF!</definedName>
    <definedName name="zx" hidden="1">#REF!</definedName>
    <definedName name="zy" hidden="1">#REF!</definedName>
    <definedName name="zz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82" i="2" l="1"/>
  <c r="Q81" i="2"/>
  <c r="Q80" i="2"/>
  <c r="H48" i="4" l="1"/>
  <c r="J52" i="8"/>
  <c r="C9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21" i="9"/>
  <c r="C21" i="9"/>
  <c r="C20" i="9"/>
  <c r="C19" i="9"/>
  <c r="C15" i="9"/>
  <c r="B72" i="7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F11" i="7"/>
  <c r="D6" i="7"/>
  <c r="D8" i="7" s="1"/>
  <c r="D12" i="7" s="1"/>
  <c r="D5" i="7"/>
  <c r="B11" i="5"/>
  <c r="B6" i="5"/>
  <c r="B5" i="5"/>
  <c r="B4" i="5"/>
  <c r="B3" i="5"/>
  <c r="D65" i="2"/>
  <c r="E65" i="2" s="1"/>
  <c r="H45" i="4"/>
  <c r="D64" i="2" s="1"/>
  <c r="E64" i="2" s="1"/>
  <c r="F41" i="4"/>
  <c r="R60" i="2" s="1"/>
  <c r="F38" i="4"/>
  <c r="F37" i="4"/>
  <c r="D21" i="4"/>
  <c r="S48" i="2" s="1"/>
  <c r="T48" i="2" s="1"/>
  <c r="U48" i="2" s="1"/>
  <c r="C21" i="4"/>
  <c r="D48" i="2" s="1"/>
  <c r="E48" i="2" s="1"/>
  <c r="D11" i="4"/>
  <c r="S46" i="2" s="1"/>
  <c r="T46" i="2" s="1"/>
  <c r="C11" i="4"/>
  <c r="D46" i="2" s="1"/>
  <c r="L65" i="3"/>
  <c r="D65" i="3"/>
  <c r="L64" i="3"/>
  <c r="D64" i="3"/>
  <c r="L63" i="3"/>
  <c r="D63" i="3"/>
  <c r="M62" i="3"/>
  <c r="M64" i="3" s="1"/>
  <c r="L62" i="3"/>
  <c r="D62" i="3"/>
  <c r="L60" i="3"/>
  <c r="J60" i="3"/>
  <c r="F8" i="3" s="1"/>
  <c r="L59" i="3"/>
  <c r="J59" i="3"/>
  <c r="E30" i="2" s="1"/>
  <c r="L58" i="3"/>
  <c r="J58" i="3"/>
  <c r="F29" i="2" s="1"/>
  <c r="L57" i="3"/>
  <c r="J57" i="3"/>
  <c r="F29" i="3" s="1"/>
  <c r="L56" i="3"/>
  <c r="J56" i="3"/>
  <c r="F16" i="3" s="1"/>
  <c r="L55" i="3"/>
  <c r="J55" i="3"/>
  <c r="F39" i="3" s="1"/>
  <c r="L54" i="3"/>
  <c r="J54" i="3"/>
  <c r="F27" i="3" s="1"/>
  <c r="L53" i="3"/>
  <c r="J53" i="3"/>
  <c r="F15" i="3" s="1"/>
  <c r="L52" i="3"/>
  <c r="J52" i="3"/>
  <c r="F3" i="3" s="1"/>
  <c r="F40" i="3"/>
  <c r="F20" i="3"/>
  <c r="F4" i="3"/>
  <c r="R81" i="2"/>
  <c r="R80" i="2"/>
  <c r="S80" i="2" s="1"/>
  <c r="T80" i="2" s="1"/>
  <c r="U80" i="2" s="1"/>
  <c r="U67" i="2"/>
  <c r="T67" i="2"/>
  <c r="S67" i="2"/>
  <c r="R67" i="2"/>
  <c r="F60" i="2"/>
  <c r="E59" i="2"/>
  <c r="D53" i="2"/>
  <c r="E53" i="2" s="1"/>
  <c r="O52" i="2"/>
  <c r="N52" i="2"/>
  <c r="M52" i="2"/>
  <c r="L52" i="2"/>
  <c r="K52" i="2"/>
  <c r="J52" i="2"/>
  <c r="I52" i="2"/>
  <c r="H52" i="2"/>
  <c r="G52" i="2"/>
  <c r="F52" i="2"/>
  <c r="E52" i="2"/>
  <c r="D52" i="2"/>
  <c r="O51" i="2"/>
  <c r="N51" i="2"/>
  <c r="M51" i="2"/>
  <c r="L51" i="2"/>
  <c r="K51" i="2"/>
  <c r="J51" i="2"/>
  <c r="I51" i="2"/>
  <c r="H51" i="2"/>
  <c r="G51" i="2"/>
  <c r="F51" i="2"/>
  <c r="E51" i="2"/>
  <c r="D51" i="2"/>
  <c r="Q36" i="2"/>
  <c r="R36" i="2" s="1"/>
  <c r="S36" i="2" s="1"/>
  <c r="T36" i="2" s="1"/>
  <c r="U36" i="2" s="1"/>
  <c r="E35" i="2"/>
  <c r="F35" i="2" s="1"/>
  <c r="G35" i="2" s="1"/>
  <c r="E34" i="2"/>
  <c r="F34" i="2" s="1"/>
  <c r="G34" i="2" s="1"/>
  <c r="H34" i="2" s="1"/>
  <c r="I34" i="2" s="1"/>
  <c r="J34" i="2" s="1"/>
  <c r="E33" i="2"/>
  <c r="F33" i="2" s="1"/>
  <c r="E32" i="2"/>
  <c r="F32" i="2" s="1"/>
  <c r="G32" i="2" s="1"/>
  <c r="H32" i="2" s="1"/>
  <c r="I32" i="2" s="1"/>
  <c r="J32" i="2" s="1"/>
  <c r="K32" i="2" s="1"/>
  <c r="L32" i="2" s="1"/>
  <c r="M32" i="2" s="1"/>
  <c r="N32" i="2" s="1"/>
  <c r="O32" i="2" s="1"/>
  <c r="O31" i="2"/>
  <c r="N31" i="2"/>
  <c r="M31" i="2"/>
  <c r="L31" i="2"/>
  <c r="D31" i="2"/>
  <c r="O28" i="2"/>
  <c r="O27" i="2"/>
  <c r="M27" i="2"/>
  <c r="L27" i="2"/>
  <c r="K27" i="2"/>
  <c r="J27" i="2"/>
  <c r="I27" i="2"/>
  <c r="H27" i="2"/>
  <c r="E27" i="2"/>
  <c r="O10" i="2"/>
  <c r="N10" i="2"/>
  <c r="M10" i="2"/>
  <c r="M16" i="2" s="1"/>
  <c r="L10" i="2"/>
  <c r="K10" i="2"/>
  <c r="J10" i="2"/>
  <c r="I10" i="2"/>
  <c r="H10" i="2"/>
  <c r="G10" i="2"/>
  <c r="G26" i="2" s="1"/>
  <c r="F10" i="2"/>
  <c r="F26" i="2" s="1"/>
  <c r="E10" i="2"/>
  <c r="D10" i="2"/>
  <c r="D16" i="2" s="1"/>
  <c r="O9" i="2"/>
  <c r="N9" i="2"/>
  <c r="M9" i="2"/>
  <c r="M15" i="2" s="1"/>
  <c r="L9" i="2"/>
  <c r="K9" i="2"/>
  <c r="K15" i="2" s="1"/>
  <c r="J9" i="2"/>
  <c r="J15" i="2" s="1"/>
  <c r="I9" i="2"/>
  <c r="H9" i="2"/>
  <c r="G9" i="2"/>
  <c r="F9" i="2"/>
  <c r="F15" i="2" s="1"/>
  <c r="E9" i="2"/>
  <c r="D9" i="2"/>
  <c r="D25" i="2" s="1"/>
  <c r="O8" i="2"/>
  <c r="N8" i="2"/>
  <c r="M8" i="2"/>
  <c r="L8" i="2"/>
  <c r="K8" i="2"/>
  <c r="J8" i="2"/>
  <c r="I8" i="2"/>
  <c r="I14" i="2" s="1"/>
  <c r="H8" i="2"/>
  <c r="G8" i="2"/>
  <c r="F8" i="2"/>
  <c r="E8" i="2"/>
  <c r="D8" i="2"/>
  <c r="O7" i="2"/>
  <c r="O13" i="2" s="1"/>
  <c r="N7" i="2"/>
  <c r="N13" i="2" s="1"/>
  <c r="M7" i="2"/>
  <c r="L7" i="2"/>
  <c r="K7" i="2"/>
  <c r="J7" i="2"/>
  <c r="J13" i="2" s="1"/>
  <c r="I7" i="2"/>
  <c r="I13" i="2" s="1"/>
  <c r="H7" i="2"/>
  <c r="G7" i="2"/>
  <c r="G23" i="2" s="1"/>
  <c r="F7" i="2"/>
  <c r="E7" i="2"/>
  <c r="E13" i="2" s="1"/>
  <c r="D7" i="2"/>
  <c r="H28" i="2" l="1"/>
  <c r="F23" i="2"/>
  <c r="N28" i="2"/>
  <c r="F41" i="3"/>
  <c r="M63" i="3"/>
  <c r="M65" i="3" s="1"/>
  <c r="D28" i="2"/>
  <c r="F5" i="3"/>
  <c r="F27" i="2"/>
  <c r="Q27" i="2" s="1"/>
  <c r="R27" i="2" s="1"/>
  <c r="S27" i="2" s="1"/>
  <c r="T27" i="2" s="1"/>
  <c r="U27" i="2" s="1"/>
  <c r="E28" i="2"/>
  <c r="G27" i="2"/>
  <c r="G28" i="2"/>
  <c r="F28" i="3"/>
  <c r="H23" i="2"/>
  <c r="F28" i="2"/>
  <c r="H29" i="2"/>
  <c r="I28" i="2"/>
  <c r="K29" i="2"/>
  <c r="D23" i="2"/>
  <c r="L24" i="2"/>
  <c r="H26" i="2"/>
  <c r="D27" i="2"/>
  <c r="N27" i="2"/>
  <c r="L28" i="2"/>
  <c r="E31" i="2"/>
  <c r="F32" i="3"/>
  <c r="I29" i="2"/>
  <c r="J29" i="2"/>
  <c r="J24" i="2"/>
  <c r="D15" i="2"/>
  <c r="J28" i="2"/>
  <c r="I30" i="2"/>
  <c r="M23" i="2"/>
  <c r="K24" i="2"/>
  <c r="K28" i="2"/>
  <c r="F30" i="3"/>
  <c r="M24" i="2"/>
  <c r="I26" i="2"/>
  <c r="M28" i="2"/>
  <c r="F31" i="2"/>
  <c r="G24" i="2"/>
  <c r="O25" i="2"/>
  <c r="E29" i="2"/>
  <c r="I31" i="2"/>
  <c r="O26" i="2"/>
  <c r="G29" i="2"/>
  <c r="G30" i="2"/>
  <c r="K31" i="2"/>
  <c r="F18" i="3"/>
  <c r="H30" i="2"/>
  <c r="H37" i="4"/>
  <c r="D58" i="2" s="1"/>
  <c r="D62" i="2" s="1"/>
  <c r="R58" i="2"/>
  <c r="H38" i="4"/>
  <c r="H59" i="2" s="1"/>
  <c r="I59" i="2" s="1"/>
  <c r="J59" i="2" s="1"/>
  <c r="K59" i="2" s="1"/>
  <c r="L59" i="2" s="1"/>
  <c r="M59" i="2" s="1"/>
  <c r="N59" i="2" s="1"/>
  <c r="O59" i="2" s="1"/>
  <c r="R59" i="2"/>
  <c r="H41" i="4"/>
  <c r="G60" i="2" s="1"/>
  <c r="H60" i="2" s="1"/>
  <c r="I60" i="2" s="1"/>
  <c r="J60" i="2" s="1"/>
  <c r="K60" i="2" s="1"/>
  <c r="L60" i="2" s="1"/>
  <c r="M60" i="2" s="1"/>
  <c r="N60" i="2" s="1"/>
  <c r="O60" i="2" s="1"/>
  <c r="G31" i="2"/>
  <c r="L29" i="2"/>
  <c r="M29" i="2"/>
  <c r="F24" i="2"/>
  <c r="N25" i="2"/>
  <c r="D29" i="2"/>
  <c r="N29" i="2"/>
  <c r="H31" i="2"/>
  <c r="F6" i="3"/>
  <c r="F42" i="3"/>
  <c r="D57" i="9"/>
  <c r="C14" i="9"/>
  <c r="C16" i="9" s="1"/>
  <c r="F44" i="3"/>
  <c r="N62" i="3"/>
  <c r="O62" i="3" s="1"/>
  <c r="L25" i="2"/>
  <c r="O29" i="2"/>
  <c r="H24" i="2"/>
  <c r="N26" i="2"/>
  <c r="J31" i="2"/>
  <c r="C18" i="9"/>
  <c r="C22" i="9" s="1"/>
  <c r="Q52" i="2"/>
  <c r="R52" i="2" s="1"/>
  <c r="S52" i="2" s="1"/>
  <c r="T52" i="2" s="1"/>
  <c r="U52" i="2" s="1"/>
  <c r="Q51" i="2"/>
  <c r="R51" i="2" s="1"/>
  <c r="S51" i="2" s="1"/>
  <c r="F53" i="2"/>
  <c r="G53" i="2" s="1"/>
  <c r="H53" i="2" s="1"/>
  <c r="I53" i="2" s="1"/>
  <c r="J53" i="2" s="1"/>
  <c r="K53" i="2" s="1"/>
  <c r="L53" i="2" s="1"/>
  <c r="M53" i="2" s="1"/>
  <c r="N53" i="2" s="1"/>
  <c r="O53" i="2" s="1"/>
  <c r="F48" i="2"/>
  <c r="G48" i="2" s="1"/>
  <c r="H48" i="2" s="1"/>
  <c r="I48" i="2" s="1"/>
  <c r="J48" i="2" s="1"/>
  <c r="K48" i="2" s="1"/>
  <c r="L48" i="2" s="1"/>
  <c r="M48" i="2" s="1"/>
  <c r="N48" i="2" s="1"/>
  <c r="O48" i="2" s="1"/>
  <c r="C12" i="7"/>
  <c r="D72" i="2" s="1"/>
  <c r="D13" i="2"/>
  <c r="D67" i="2"/>
  <c r="G14" i="2"/>
  <c r="J25" i="2"/>
  <c r="K14" i="2"/>
  <c r="I24" i="2"/>
  <c r="H16" i="2"/>
  <c r="G16" i="2"/>
  <c r="Q9" i="2"/>
  <c r="N64" i="3" s="1"/>
  <c r="O64" i="3" s="1"/>
  <c r="F16" i="2"/>
  <c r="M26" i="2"/>
  <c r="F25" i="2"/>
  <c r="N16" i="2"/>
  <c r="F13" i="2"/>
  <c r="K25" i="2"/>
  <c r="H14" i="2"/>
  <c r="Q10" i="2"/>
  <c r="N65" i="3" s="1"/>
  <c r="O65" i="3" s="1"/>
  <c r="Q7" i="2"/>
  <c r="H62" i="3" s="1"/>
  <c r="M13" i="2"/>
  <c r="N23" i="2"/>
  <c r="D26" i="2"/>
  <c r="O23" i="2"/>
  <c r="F14" i="2"/>
  <c r="E16" i="2"/>
  <c r="U46" i="2"/>
  <c r="H35" i="2"/>
  <c r="I35" i="2" s="1"/>
  <c r="J35" i="2" s="1"/>
  <c r="K35" i="2" s="1"/>
  <c r="L35" i="2" s="1"/>
  <c r="M35" i="2" s="1"/>
  <c r="N35" i="2" s="1"/>
  <c r="O35" i="2" s="1"/>
  <c r="Q35" i="2" s="1"/>
  <c r="R35" i="2" s="1"/>
  <c r="S35" i="2" s="1"/>
  <c r="T35" i="2" s="1"/>
  <c r="U35" i="2" s="1"/>
  <c r="K34" i="2"/>
  <c r="L34" i="2" s="1"/>
  <c r="M34" i="2" s="1"/>
  <c r="N34" i="2" s="1"/>
  <c r="O34" i="2" s="1"/>
  <c r="F64" i="2"/>
  <c r="E67" i="2"/>
  <c r="I23" i="2"/>
  <c r="F43" i="3"/>
  <c r="F31" i="3"/>
  <c r="N30" i="2"/>
  <c r="D30" i="2"/>
  <c r="M30" i="2"/>
  <c r="L30" i="2"/>
  <c r="E46" i="2"/>
  <c r="D55" i="2"/>
  <c r="H25" i="2"/>
  <c r="H15" i="2"/>
  <c r="L26" i="2"/>
  <c r="L16" i="2"/>
  <c r="E15" i="2"/>
  <c r="J23" i="2"/>
  <c r="E25" i="2"/>
  <c r="F30" i="2"/>
  <c r="G33" i="2"/>
  <c r="H33" i="2" s="1"/>
  <c r="I33" i="2" s="1"/>
  <c r="J33" i="2" s="1"/>
  <c r="K33" i="2" s="1"/>
  <c r="L33" i="2" s="1"/>
  <c r="M33" i="2" s="1"/>
  <c r="N33" i="2" s="1"/>
  <c r="O33" i="2" s="1"/>
  <c r="F7" i="3"/>
  <c r="J14" i="2"/>
  <c r="E26" i="2"/>
  <c r="K23" i="2"/>
  <c r="K13" i="2"/>
  <c r="G25" i="2"/>
  <c r="G15" i="2"/>
  <c r="N24" i="2"/>
  <c r="N14" i="2"/>
  <c r="L23" i="2"/>
  <c r="L13" i="2"/>
  <c r="E24" i="2"/>
  <c r="E14" i="2"/>
  <c r="G13" i="2"/>
  <c r="I16" i="2"/>
  <c r="M25" i="2"/>
  <c r="K30" i="2"/>
  <c r="Q32" i="2"/>
  <c r="R32" i="2" s="1"/>
  <c r="S32" i="2" s="1"/>
  <c r="T32" i="2" s="1"/>
  <c r="U32" i="2" s="1"/>
  <c r="F19" i="3"/>
  <c r="K26" i="2"/>
  <c r="K16" i="2"/>
  <c r="D24" i="2"/>
  <c r="D14" i="2"/>
  <c r="I25" i="2"/>
  <c r="I15" i="2"/>
  <c r="I18" i="2" s="1"/>
  <c r="O24" i="2"/>
  <c r="O14" i="2"/>
  <c r="Q8" i="2"/>
  <c r="L14" i="2"/>
  <c r="S60" i="2"/>
  <c r="T60" i="2" s="1"/>
  <c r="U60" i="2" s="1"/>
  <c r="S81" i="2"/>
  <c r="M14" i="2"/>
  <c r="L15" i="2"/>
  <c r="J30" i="2"/>
  <c r="F65" i="2"/>
  <c r="G65" i="2" s="1"/>
  <c r="H65" i="2" s="1"/>
  <c r="I65" i="2" s="1"/>
  <c r="J65" i="2" s="1"/>
  <c r="K65" i="2" s="1"/>
  <c r="L65" i="2" s="1"/>
  <c r="M65" i="2" s="1"/>
  <c r="N65" i="2" s="1"/>
  <c r="O65" i="2" s="1"/>
  <c r="E23" i="2"/>
  <c r="H13" i="2"/>
  <c r="N15" i="2"/>
  <c r="O30" i="2"/>
  <c r="F59" i="2"/>
  <c r="G59" i="2" s="1"/>
  <c r="S59" i="2" s="1"/>
  <c r="T59" i="2" s="1"/>
  <c r="U59" i="2" s="1"/>
  <c r="O15" i="2"/>
  <c r="D13" i="7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F12" i="7"/>
  <c r="J26" i="2"/>
  <c r="J16" i="2"/>
  <c r="O16" i="2"/>
  <c r="R82" i="2"/>
  <c r="S82" i="2" s="1"/>
  <c r="D59" i="9"/>
  <c r="F17" i="3"/>
  <c r="D58" i="9"/>
  <c r="Q29" i="2" l="1"/>
  <c r="R29" i="2" s="1"/>
  <c r="S29" i="2" s="1"/>
  <c r="T29" i="2" s="1"/>
  <c r="U29" i="2" s="1"/>
  <c r="Q28" i="2"/>
  <c r="R28" i="2" s="1"/>
  <c r="S28" i="2" s="1"/>
  <c r="T28" i="2" s="1"/>
  <c r="U28" i="2" s="1"/>
  <c r="Q34" i="2"/>
  <c r="R34" i="2" s="1"/>
  <c r="S34" i="2" s="1"/>
  <c r="T34" i="2" s="1"/>
  <c r="U34" i="2" s="1"/>
  <c r="E58" i="2"/>
  <c r="F58" i="2" s="1"/>
  <c r="G58" i="2" s="1"/>
  <c r="H58" i="2" s="1"/>
  <c r="Q31" i="2"/>
  <c r="R31" i="2" s="1"/>
  <c r="S31" i="2" s="1"/>
  <c r="T31" i="2" s="1"/>
  <c r="U31" i="2" s="1"/>
  <c r="F38" i="2"/>
  <c r="H8" i="3"/>
  <c r="F62" i="2"/>
  <c r="Q60" i="2"/>
  <c r="Q48" i="2"/>
  <c r="R48" i="2" s="1"/>
  <c r="R9" i="2"/>
  <c r="S9" i="2" s="1"/>
  <c r="E12" i="7"/>
  <c r="D74" i="2"/>
  <c r="N18" i="2"/>
  <c r="Q59" i="2"/>
  <c r="Q65" i="2"/>
  <c r="E62" i="2"/>
  <c r="Q53" i="2"/>
  <c r="R53" i="2" s="1"/>
  <c r="S53" i="2" s="1"/>
  <c r="T53" i="2" s="1"/>
  <c r="U53" i="2" s="1"/>
  <c r="J18" i="2"/>
  <c r="J19" i="2" s="1"/>
  <c r="F18" i="2"/>
  <c r="G38" i="2"/>
  <c r="O18" i="2"/>
  <c r="O19" i="2" s="1"/>
  <c r="M18" i="2"/>
  <c r="J65" i="3"/>
  <c r="F46" i="3" s="1"/>
  <c r="F48" i="3" s="1"/>
  <c r="D6" i="5" s="1"/>
  <c r="J63" i="3"/>
  <c r="F22" i="3" s="1"/>
  <c r="F24" i="3" s="1"/>
  <c r="D4" i="5" s="1"/>
  <c r="J64" i="3"/>
  <c r="F34" i="3" s="1"/>
  <c r="F36" i="3" s="1"/>
  <c r="D5" i="5" s="1"/>
  <c r="R7" i="2"/>
  <c r="S7" i="2" s="1"/>
  <c r="N38" i="2"/>
  <c r="M38" i="2"/>
  <c r="H38" i="2"/>
  <c r="Q25" i="2"/>
  <c r="R25" i="2" s="1"/>
  <c r="S25" i="2" s="1"/>
  <c r="T25" i="2" s="1"/>
  <c r="U25" i="2" s="1"/>
  <c r="Q33" i="2"/>
  <c r="R33" i="2" s="1"/>
  <c r="S33" i="2" s="1"/>
  <c r="T33" i="2" s="1"/>
  <c r="U33" i="2" s="1"/>
  <c r="R10" i="2"/>
  <c r="R16" i="2" s="1"/>
  <c r="E18" i="2"/>
  <c r="O38" i="2"/>
  <c r="Q15" i="2"/>
  <c r="T51" i="2"/>
  <c r="S55" i="2"/>
  <c r="Q26" i="2"/>
  <c r="R26" i="2" s="1"/>
  <c r="S26" i="2" s="1"/>
  <c r="T26" i="2" s="1"/>
  <c r="U26" i="2" s="1"/>
  <c r="Q30" i="2"/>
  <c r="R30" i="2" s="1"/>
  <c r="S30" i="2" s="1"/>
  <c r="T30" i="2" s="1"/>
  <c r="U30" i="2" s="1"/>
  <c r="G62" i="2"/>
  <c r="Q16" i="2"/>
  <c r="Q14" i="2"/>
  <c r="G18" i="2"/>
  <c r="Q13" i="2"/>
  <c r="G64" i="2"/>
  <c r="F67" i="2"/>
  <c r="K18" i="2"/>
  <c r="Q24" i="2"/>
  <c r="R24" i="2" s="1"/>
  <c r="S24" i="2" s="1"/>
  <c r="T24" i="2" s="1"/>
  <c r="U24" i="2" s="1"/>
  <c r="D38" i="2"/>
  <c r="Q23" i="2"/>
  <c r="E38" i="2"/>
  <c r="D18" i="2"/>
  <c r="D56" i="2" s="1"/>
  <c r="L18" i="2"/>
  <c r="K38" i="2"/>
  <c r="E55" i="2"/>
  <c r="F46" i="2"/>
  <c r="C13" i="7"/>
  <c r="F13" i="7"/>
  <c r="N63" i="3"/>
  <c r="R8" i="2"/>
  <c r="Q11" i="2"/>
  <c r="L38" i="2"/>
  <c r="T81" i="2"/>
  <c r="U81" i="2" s="1"/>
  <c r="H67" i="3"/>
  <c r="J67" i="3" s="1"/>
  <c r="J62" i="3"/>
  <c r="H18" i="2"/>
  <c r="I19" i="2" s="1"/>
  <c r="I38" i="2"/>
  <c r="I39" i="2" s="1"/>
  <c r="T82" i="2"/>
  <c r="U82" i="2" s="1"/>
  <c r="J38" i="2"/>
  <c r="F39" i="2" l="1"/>
  <c r="N19" i="2"/>
  <c r="D12" i="5"/>
  <c r="D11" i="5"/>
  <c r="N39" i="2"/>
  <c r="R15" i="2"/>
  <c r="R23" i="2"/>
  <c r="S23" i="2" s="1"/>
  <c r="T23" i="2" s="1"/>
  <c r="U23" i="2" s="1"/>
  <c r="D64" i="8"/>
  <c r="O39" i="2"/>
  <c r="F19" i="2"/>
  <c r="E19" i="2"/>
  <c r="D39" i="2"/>
  <c r="J39" i="2"/>
  <c r="N41" i="2"/>
  <c r="N42" i="2" s="1"/>
  <c r="F41" i="2"/>
  <c r="F42" i="2" s="1"/>
  <c r="D41" i="2"/>
  <c r="D42" i="2" s="1"/>
  <c r="E64" i="8"/>
  <c r="M39" i="2"/>
  <c r="G39" i="2"/>
  <c r="M41" i="2"/>
  <c r="M42" i="2" s="1"/>
  <c r="R13" i="2"/>
  <c r="R11" i="2"/>
  <c r="E39" i="2"/>
  <c r="S10" i="2"/>
  <c r="T10" i="2" s="1"/>
  <c r="Q18" i="2"/>
  <c r="C64" i="8" s="1"/>
  <c r="H39" i="2"/>
  <c r="E56" i="2"/>
  <c r="O41" i="2"/>
  <c r="O42" i="2" s="1"/>
  <c r="I41" i="2"/>
  <c r="I42" i="2" s="1"/>
  <c r="C14" i="7"/>
  <c r="F14" i="7"/>
  <c r="L41" i="2"/>
  <c r="L19" i="2"/>
  <c r="H64" i="2"/>
  <c r="G67" i="2"/>
  <c r="L39" i="2"/>
  <c r="S13" i="2"/>
  <c r="T7" i="2"/>
  <c r="N67" i="3"/>
  <c r="F10" i="5"/>
  <c r="F55" i="2"/>
  <c r="F56" i="2" s="1"/>
  <c r="G46" i="2"/>
  <c r="K41" i="2"/>
  <c r="K19" i="2"/>
  <c r="F10" i="3"/>
  <c r="F12" i="3" s="1"/>
  <c r="D3" i="5" s="1"/>
  <c r="J69" i="3"/>
  <c r="G41" i="2"/>
  <c r="G19" i="2"/>
  <c r="H19" i="2"/>
  <c r="H41" i="2"/>
  <c r="S8" i="2"/>
  <c r="R14" i="2"/>
  <c r="E13" i="7"/>
  <c r="E72" i="2"/>
  <c r="S15" i="2"/>
  <c r="T9" i="2"/>
  <c r="Q38" i="2"/>
  <c r="E41" i="2"/>
  <c r="U51" i="2"/>
  <c r="U55" i="2" s="1"/>
  <c r="T55" i="2"/>
  <c r="O63" i="3"/>
  <c r="N66" i="3"/>
  <c r="K39" i="2"/>
  <c r="I58" i="2"/>
  <c r="H62" i="2"/>
  <c r="M19" i="2"/>
  <c r="J41" i="2"/>
  <c r="H12" i="5" l="1"/>
  <c r="D69" i="2"/>
  <c r="D70" i="2" s="1"/>
  <c r="E65" i="8"/>
  <c r="D65" i="8"/>
  <c r="R18" i="2"/>
  <c r="C65" i="8" s="1"/>
  <c r="S16" i="2"/>
  <c r="H11" i="5"/>
  <c r="R38" i="2"/>
  <c r="Q39" i="2"/>
  <c r="H42" i="2"/>
  <c r="T15" i="2"/>
  <c r="U9" i="2"/>
  <c r="U15" i="2" s="1"/>
  <c r="G42" i="2"/>
  <c r="Q41" i="2"/>
  <c r="H46" i="2"/>
  <c r="G55" i="2"/>
  <c r="G56" i="2" s="1"/>
  <c r="L42" i="2"/>
  <c r="S14" i="2"/>
  <c r="T8" i="2"/>
  <c r="T11" i="2" s="1"/>
  <c r="N68" i="3"/>
  <c r="O68" i="3" s="1"/>
  <c r="T13" i="2"/>
  <c r="U7" i="2"/>
  <c r="S11" i="2"/>
  <c r="K42" i="2"/>
  <c r="I64" i="2"/>
  <c r="H67" i="2"/>
  <c r="F15" i="7"/>
  <c r="C15" i="7"/>
  <c r="U10" i="2"/>
  <c r="U16" i="2" s="1"/>
  <c r="T16" i="2"/>
  <c r="J42" i="2"/>
  <c r="E74" i="2"/>
  <c r="I62" i="2"/>
  <c r="J58" i="2"/>
  <c r="E69" i="2"/>
  <c r="E42" i="2"/>
  <c r="F69" i="2"/>
  <c r="E14" i="7"/>
  <c r="F72" i="2"/>
  <c r="F74" i="2" s="1"/>
  <c r="D91" i="2" l="1"/>
  <c r="D92" i="2" s="1"/>
  <c r="D76" i="2"/>
  <c r="D77" i="2" s="1"/>
  <c r="S18" i="2"/>
  <c r="C66" i="8" s="1"/>
  <c r="R41" i="2"/>
  <c r="R42" i="2" s="1"/>
  <c r="D66" i="8"/>
  <c r="E66" i="8"/>
  <c r="R19" i="2"/>
  <c r="G64" i="8"/>
  <c r="F64" i="8" s="1"/>
  <c r="G29" i="8" s="1"/>
  <c r="K58" i="2"/>
  <c r="J62" i="2"/>
  <c r="H55" i="2"/>
  <c r="I46" i="2"/>
  <c r="U13" i="2"/>
  <c r="I67" i="2"/>
  <c r="J64" i="2"/>
  <c r="F76" i="2"/>
  <c r="F70" i="2"/>
  <c r="F91" i="2"/>
  <c r="F92" i="2" s="1"/>
  <c r="E15" i="7"/>
  <c r="G72" i="2"/>
  <c r="Q42" i="2"/>
  <c r="E70" i="2"/>
  <c r="E91" i="2"/>
  <c r="E92" i="2" s="1"/>
  <c r="E76" i="2"/>
  <c r="R39" i="2"/>
  <c r="F16" i="7"/>
  <c r="C16" i="7"/>
  <c r="T14" i="2"/>
  <c r="T18" i="2" s="1"/>
  <c r="C67" i="8" s="1"/>
  <c r="U8" i="2"/>
  <c r="U14" i="2" s="1"/>
  <c r="D79" i="2"/>
  <c r="G69" i="2"/>
  <c r="S38" i="2"/>
  <c r="S56" i="2" l="1"/>
  <c r="S19" i="2"/>
  <c r="E67" i="8"/>
  <c r="D67" i="8"/>
  <c r="U11" i="2"/>
  <c r="G65" i="8"/>
  <c r="F65" i="8" s="1"/>
  <c r="G30" i="8" s="1"/>
  <c r="T19" i="2"/>
  <c r="T56" i="2"/>
  <c r="E16" i="7"/>
  <c r="H72" i="2"/>
  <c r="H74" i="2" s="1"/>
  <c r="H56" i="2"/>
  <c r="H69" i="2"/>
  <c r="E79" i="2"/>
  <c r="E84" i="2" s="1"/>
  <c r="E86" i="2" s="1"/>
  <c r="E77" i="2"/>
  <c r="U18" i="2"/>
  <c r="C68" i="8" s="1"/>
  <c r="G74" i="2"/>
  <c r="G76" i="2" s="1"/>
  <c r="S39" i="2"/>
  <c r="C17" i="7"/>
  <c r="F17" i="7"/>
  <c r="T38" i="2"/>
  <c r="I55" i="2"/>
  <c r="J46" i="2"/>
  <c r="G91" i="2"/>
  <c r="G92" i="2" s="1"/>
  <c r="G70" i="2"/>
  <c r="F79" i="2"/>
  <c r="F84" i="2" s="1"/>
  <c r="F86" i="2" s="1"/>
  <c r="F87" i="2" s="1"/>
  <c r="F77" i="2"/>
  <c r="D84" i="2"/>
  <c r="D86" i="2" s="1"/>
  <c r="S41" i="2"/>
  <c r="J67" i="2"/>
  <c r="K64" i="2"/>
  <c r="L58" i="2"/>
  <c r="K62" i="2"/>
  <c r="E87" i="2" l="1"/>
  <c r="D87" i="2"/>
  <c r="U38" i="2"/>
  <c r="U39" i="2" s="1"/>
  <c r="D68" i="8"/>
  <c r="E68" i="8"/>
  <c r="G66" i="8"/>
  <c r="F66" i="8" s="1"/>
  <c r="G31" i="8" s="1"/>
  <c r="L62" i="2"/>
  <c r="M58" i="2"/>
  <c r="H76" i="2"/>
  <c r="H91" i="2"/>
  <c r="H92" i="2" s="1"/>
  <c r="H70" i="2"/>
  <c r="K67" i="2"/>
  <c r="L64" i="2"/>
  <c r="G77" i="2"/>
  <c r="G79" i="2"/>
  <c r="G84" i="2" s="1"/>
  <c r="G86" i="2" s="1"/>
  <c r="K46" i="2"/>
  <c r="J55" i="2"/>
  <c r="S42" i="2"/>
  <c r="I56" i="2"/>
  <c r="I69" i="2"/>
  <c r="D89" i="2"/>
  <c r="E89" i="2" s="1"/>
  <c r="F89" i="2" s="1"/>
  <c r="T39" i="2"/>
  <c r="U19" i="2"/>
  <c r="U56" i="2"/>
  <c r="T41" i="2"/>
  <c r="C18" i="7"/>
  <c r="F18" i="7"/>
  <c r="E17" i="7"/>
  <c r="I72" i="2"/>
  <c r="I74" i="2" s="1"/>
  <c r="U41" i="2" l="1"/>
  <c r="U42" i="2" s="1"/>
  <c r="G67" i="8"/>
  <c r="F67" i="8" s="1"/>
  <c r="G32" i="8" s="1"/>
  <c r="G68" i="8"/>
  <c r="G87" i="2"/>
  <c r="I70" i="2"/>
  <c r="I76" i="2"/>
  <c r="I91" i="2"/>
  <c r="C19" i="7"/>
  <c r="F19" i="7"/>
  <c r="J72" i="2"/>
  <c r="J74" i="2" s="1"/>
  <c r="E18" i="7"/>
  <c r="M64" i="2"/>
  <c r="L67" i="2"/>
  <c r="T42" i="2"/>
  <c r="J56" i="2"/>
  <c r="J69" i="2"/>
  <c r="H77" i="2"/>
  <c r="H79" i="2"/>
  <c r="K55" i="2"/>
  <c r="L46" i="2"/>
  <c r="G89" i="2"/>
  <c r="N58" i="2"/>
  <c r="M62" i="2"/>
  <c r="F68" i="8" l="1"/>
  <c r="G33" i="8" s="1"/>
  <c r="J91" i="2"/>
  <c r="J92" i="2" s="1"/>
  <c r="J76" i="2"/>
  <c r="J70" i="2"/>
  <c r="E19" i="7"/>
  <c r="K72" i="2"/>
  <c r="K74" i="2" s="1"/>
  <c r="I92" i="2"/>
  <c r="H84" i="2"/>
  <c r="H86" i="2" s="1"/>
  <c r="L55" i="2"/>
  <c r="M46" i="2"/>
  <c r="M67" i="2"/>
  <c r="N64" i="2"/>
  <c r="F20" i="7"/>
  <c r="C20" i="7"/>
  <c r="N62" i="2"/>
  <c r="O58" i="2"/>
  <c r="Q58" i="2" s="1"/>
  <c r="I77" i="2"/>
  <c r="I79" i="2"/>
  <c r="I84" i="2" s="1"/>
  <c r="I86" i="2" s="1"/>
  <c r="I87" i="2" s="1"/>
  <c r="K56" i="2"/>
  <c r="K69" i="2"/>
  <c r="O62" i="2" l="1"/>
  <c r="H87" i="2"/>
  <c r="N67" i="2"/>
  <c r="O64" i="2"/>
  <c r="Q64" i="2" s="1"/>
  <c r="F21" i="7"/>
  <c r="C21" i="7"/>
  <c r="K70" i="2"/>
  <c r="K76" i="2"/>
  <c r="K91" i="2"/>
  <c r="J77" i="2"/>
  <c r="J79" i="2"/>
  <c r="N46" i="2"/>
  <c r="M55" i="2"/>
  <c r="E20" i="7"/>
  <c r="L72" i="2"/>
  <c r="L74" i="2" s="1"/>
  <c r="H89" i="2"/>
  <c r="L56" i="2"/>
  <c r="L69" i="2"/>
  <c r="I89" i="2" l="1"/>
  <c r="E21" i="7"/>
  <c r="M72" i="2"/>
  <c r="M74" i="2" s="1"/>
  <c r="K77" i="2"/>
  <c r="K79" i="2"/>
  <c r="K84" i="2" s="1"/>
  <c r="K86" i="2" s="1"/>
  <c r="K87" i="2" s="1"/>
  <c r="C22" i="7"/>
  <c r="F22" i="7"/>
  <c r="O67" i="2"/>
  <c r="Q67" i="2"/>
  <c r="O46" i="2"/>
  <c r="Q46" i="2" s="1"/>
  <c r="N55" i="2"/>
  <c r="J84" i="2"/>
  <c r="J86" i="2" s="1"/>
  <c r="Q62" i="2"/>
  <c r="M56" i="2"/>
  <c r="M69" i="2"/>
  <c r="L91" i="2"/>
  <c r="L92" i="2" s="1"/>
  <c r="L76" i="2"/>
  <c r="L70" i="2"/>
  <c r="K92" i="2"/>
  <c r="F29" i="8" l="1"/>
  <c r="C23" i="7"/>
  <c r="F23" i="7"/>
  <c r="N56" i="2"/>
  <c r="N69" i="2"/>
  <c r="M91" i="2"/>
  <c r="M92" i="2" s="1"/>
  <c r="M76" i="2"/>
  <c r="M70" i="2"/>
  <c r="J87" i="2"/>
  <c r="N72" i="2"/>
  <c r="N74" i="2" s="1"/>
  <c r="E22" i="7"/>
  <c r="R62" i="2"/>
  <c r="F30" i="8" s="1"/>
  <c r="S58" i="2"/>
  <c r="O55" i="2"/>
  <c r="L79" i="2"/>
  <c r="L84" i="2" s="1"/>
  <c r="L86" i="2" s="1"/>
  <c r="L77" i="2"/>
  <c r="J89" i="2"/>
  <c r="L87" i="2" l="1"/>
  <c r="D10" i="5"/>
  <c r="H10" i="5" s="1"/>
  <c r="H14" i="5" s="1"/>
  <c r="Q55" i="2"/>
  <c r="R46" i="2"/>
  <c r="R55" i="2" s="1"/>
  <c r="M77" i="2"/>
  <c r="M79" i="2"/>
  <c r="M84" i="2" s="1"/>
  <c r="M86" i="2" s="1"/>
  <c r="M87" i="2" s="1"/>
  <c r="O56" i="2"/>
  <c r="O69" i="2"/>
  <c r="N76" i="2"/>
  <c r="N91" i="2"/>
  <c r="N92" i="2" s="1"/>
  <c r="N70" i="2"/>
  <c r="K89" i="2"/>
  <c r="L89" i="2" s="1"/>
  <c r="S62" i="2"/>
  <c r="S69" i="2" s="1"/>
  <c r="T58" i="2"/>
  <c r="C24" i="7"/>
  <c r="F24" i="7"/>
  <c r="O72" i="2"/>
  <c r="Q72" i="2" s="1"/>
  <c r="E23" i="7"/>
  <c r="G23" i="7" s="1"/>
  <c r="H23" i="7"/>
  <c r="F31" i="8" l="1"/>
  <c r="O91" i="2"/>
  <c r="O70" i="2"/>
  <c r="U58" i="2"/>
  <c r="U62" i="2" s="1"/>
  <c r="F33" i="8" s="1"/>
  <c r="T62" i="2"/>
  <c r="R56" i="2"/>
  <c r="R69" i="2"/>
  <c r="O74" i="2"/>
  <c r="O76" i="2" s="1"/>
  <c r="Q74" i="2"/>
  <c r="C25" i="7"/>
  <c r="E25" i="7" s="1"/>
  <c r="F25" i="7"/>
  <c r="E24" i="7"/>
  <c r="K44" i="8"/>
  <c r="D31" i="8"/>
  <c r="E31" i="8" s="1"/>
  <c r="S70" i="2"/>
  <c r="S91" i="2"/>
  <c r="S92" i="2" s="1"/>
  <c r="M89" i="2"/>
  <c r="Q56" i="2"/>
  <c r="Q69" i="2"/>
  <c r="D14" i="5"/>
  <c r="N79" i="2"/>
  <c r="N84" i="2" s="1"/>
  <c r="N86" i="2" s="1"/>
  <c r="N87" i="2" s="1"/>
  <c r="N77" i="2"/>
  <c r="F32" i="8" l="1"/>
  <c r="T69" i="2"/>
  <c r="D32" i="8" s="1"/>
  <c r="E32" i="8" s="1"/>
  <c r="I31" i="8"/>
  <c r="U69" i="2"/>
  <c r="D33" i="8" s="1"/>
  <c r="E33" i="8" s="1"/>
  <c r="O77" i="2"/>
  <c r="O79" i="2"/>
  <c r="Q79" i="2" s="1"/>
  <c r="R91" i="2"/>
  <c r="R92" i="2" s="1"/>
  <c r="R70" i="2"/>
  <c r="D30" i="8"/>
  <c r="E30" i="8" s="1"/>
  <c r="I30" i="8" s="1"/>
  <c r="K43" i="8"/>
  <c r="K42" i="8"/>
  <c r="Q76" i="2"/>
  <c r="Q77" i="2" s="1"/>
  <c r="D29" i="8"/>
  <c r="E29" i="8" s="1"/>
  <c r="Q70" i="2"/>
  <c r="N89" i="2"/>
  <c r="F4" i="5"/>
  <c r="F3" i="5"/>
  <c r="J3" i="5" s="1"/>
  <c r="F6" i="5"/>
  <c r="F5" i="5"/>
  <c r="C26" i="7"/>
  <c r="F26" i="7"/>
  <c r="O92" i="2"/>
  <c r="Q91" i="2"/>
  <c r="Q92" i="2" s="1"/>
  <c r="K45" i="8" l="1"/>
  <c r="T91" i="2"/>
  <c r="T92" i="2" s="1"/>
  <c r="T70" i="2"/>
  <c r="U70" i="2"/>
  <c r="U91" i="2"/>
  <c r="U92" i="2" s="1"/>
  <c r="K46" i="8"/>
  <c r="K48" i="8" s="1"/>
  <c r="E9" i="8" s="1"/>
  <c r="I29" i="8"/>
  <c r="I32" i="8"/>
  <c r="I33" i="8"/>
  <c r="J53" i="8" s="1"/>
  <c r="H6" i="5"/>
  <c r="J6" i="5"/>
  <c r="N6" i="5" s="1"/>
  <c r="F27" i="7"/>
  <c r="C27" i="7"/>
  <c r="E27" i="7" s="1"/>
  <c r="E26" i="7"/>
  <c r="H3" i="5"/>
  <c r="N3" i="5"/>
  <c r="H4" i="5"/>
  <c r="J4" i="5"/>
  <c r="N4" i="5" s="1"/>
  <c r="O84" i="2"/>
  <c r="O86" i="2" s="1"/>
  <c r="Q84" i="2"/>
  <c r="H5" i="5"/>
  <c r="J5" i="5"/>
  <c r="N5" i="5" s="1"/>
  <c r="O89" i="2" l="1"/>
  <c r="Q89" i="2" s="1"/>
  <c r="Q86" i="2"/>
  <c r="Q87" i="2" s="1"/>
  <c r="K49" i="8"/>
  <c r="O87" i="2"/>
  <c r="F28" i="7"/>
  <c r="C28" i="7"/>
  <c r="E28" i="7" l="1"/>
  <c r="C29" i="7"/>
  <c r="E29" i="7" s="1"/>
  <c r="F29" i="7"/>
  <c r="C30" i="7" l="1"/>
  <c r="E30" i="7" s="1"/>
  <c r="F30" i="7"/>
  <c r="C31" i="7" l="1"/>
  <c r="F31" i="7"/>
  <c r="F32" i="7" l="1"/>
  <c r="C32" i="7"/>
  <c r="E32" i="7" s="1"/>
  <c r="E31" i="7"/>
  <c r="F33" i="7" l="1"/>
  <c r="C33" i="7"/>
  <c r="E33" i="7" s="1"/>
  <c r="C34" i="7" l="1"/>
  <c r="E34" i="7" s="1"/>
  <c r="F34" i="7"/>
  <c r="C35" i="7" l="1"/>
  <c r="F35" i="7"/>
  <c r="C36" i="7" l="1"/>
  <c r="F36" i="7"/>
  <c r="E35" i="7"/>
  <c r="G35" i="7" s="1"/>
  <c r="H35" i="7"/>
  <c r="R72" i="2" l="1"/>
  <c r="R74" i="2" s="1"/>
  <c r="R76" i="2" s="1"/>
  <c r="C37" i="7"/>
  <c r="E37" i="7" s="1"/>
  <c r="F37" i="7"/>
  <c r="E36" i="7"/>
  <c r="C38" i="7" l="1"/>
  <c r="F38" i="7"/>
  <c r="R79" i="2"/>
  <c r="R84" i="2" s="1"/>
  <c r="R86" i="2" s="1"/>
  <c r="R77" i="2"/>
  <c r="R87" i="2" l="1"/>
  <c r="R89" i="2"/>
  <c r="F39" i="7"/>
  <c r="C39" i="7"/>
  <c r="E39" i="7" s="1"/>
  <c r="E38" i="7"/>
  <c r="F40" i="7" l="1"/>
  <c r="C40" i="7"/>
  <c r="E40" i="7" l="1"/>
  <c r="C41" i="7"/>
  <c r="E41" i="7" s="1"/>
  <c r="F41" i="7"/>
  <c r="C42" i="7" l="1"/>
  <c r="E42" i="7" s="1"/>
  <c r="F42" i="7"/>
  <c r="C43" i="7" l="1"/>
  <c r="F43" i="7"/>
  <c r="F44" i="7" l="1"/>
  <c r="C44" i="7"/>
  <c r="E44" i="7" s="1"/>
  <c r="E43" i="7"/>
  <c r="F45" i="7" l="1"/>
  <c r="C45" i="7"/>
  <c r="E45" i="7" s="1"/>
  <c r="C46" i="7" l="1"/>
  <c r="E46" i="7" s="1"/>
  <c r="F46" i="7"/>
  <c r="C47" i="7" l="1"/>
  <c r="F47" i="7"/>
  <c r="C48" i="7" l="1"/>
  <c r="F48" i="7"/>
  <c r="E47" i="7"/>
  <c r="G47" i="7" s="1"/>
  <c r="H47" i="7"/>
  <c r="S72" i="2" l="1"/>
  <c r="S74" i="2" s="1"/>
  <c r="S76" i="2" s="1"/>
  <c r="C49" i="7"/>
  <c r="E49" i="7" s="1"/>
  <c r="F49" i="7"/>
  <c r="E48" i="7"/>
  <c r="C50" i="7" l="1"/>
  <c r="F50" i="7"/>
  <c r="S79" i="2"/>
  <c r="S84" i="2" s="1"/>
  <c r="S86" i="2" s="1"/>
  <c r="S77" i="2"/>
  <c r="S87" i="2" l="1"/>
  <c r="S89" i="2"/>
  <c r="F51" i="7"/>
  <c r="C51" i="7"/>
  <c r="E51" i="7" s="1"/>
  <c r="E50" i="7"/>
  <c r="F52" i="7" l="1"/>
  <c r="C52" i="7"/>
  <c r="E52" i="7" l="1"/>
  <c r="C53" i="7"/>
  <c r="E53" i="7" s="1"/>
  <c r="F53" i="7"/>
  <c r="C54" i="7" l="1"/>
  <c r="E54" i="7" s="1"/>
  <c r="F54" i="7"/>
  <c r="C55" i="7" l="1"/>
  <c r="F55" i="7"/>
  <c r="F56" i="7" l="1"/>
  <c r="C56" i="7"/>
  <c r="E56" i="7" s="1"/>
  <c r="E55" i="7"/>
  <c r="F57" i="7" l="1"/>
  <c r="C57" i="7"/>
  <c r="E57" i="7" s="1"/>
  <c r="C58" i="7" l="1"/>
  <c r="E58" i="7" s="1"/>
  <c r="F58" i="7"/>
  <c r="C59" i="7" l="1"/>
  <c r="F59" i="7"/>
  <c r="C60" i="7" l="1"/>
  <c r="F60" i="7"/>
  <c r="E59" i="7"/>
  <c r="G59" i="7" s="1"/>
  <c r="H59" i="7"/>
  <c r="T72" i="2" l="1"/>
  <c r="T74" i="2" s="1"/>
  <c r="T76" i="2" s="1"/>
  <c r="C61" i="7"/>
  <c r="E61" i="7" s="1"/>
  <c r="F61" i="7"/>
  <c r="E60" i="7"/>
  <c r="C62" i="7" l="1"/>
  <c r="F62" i="7"/>
  <c r="T77" i="2"/>
  <c r="T79" i="2"/>
  <c r="T84" i="2" s="1"/>
  <c r="T86" i="2" s="1"/>
  <c r="T87" i="2" l="1"/>
  <c r="T89" i="2"/>
  <c r="F63" i="7"/>
  <c r="C63" i="7"/>
  <c r="E63" i="7" s="1"/>
  <c r="E62" i="7"/>
  <c r="F64" i="7" l="1"/>
  <c r="C64" i="7"/>
  <c r="E64" i="7" l="1"/>
  <c r="C65" i="7"/>
  <c r="E65" i="7" s="1"/>
  <c r="F65" i="7"/>
  <c r="C66" i="7" l="1"/>
  <c r="E66" i="7" s="1"/>
  <c r="F66" i="7"/>
  <c r="C67" i="7" l="1"/>
  <c r="F67" i="7"/>
  <c r="F68" i="7" l="1"/>
  <c r="C68" i="7"/>
  <c r="E68" i="7" s="1"/>
  <c r="E67" i="7"/>
  <c r="F69" i="7" l="1"/>
  <c r="C69" i="7"/>
  <c r="E69" i="7" s="1"/>
  <c r="C70" i="7" l="1"/>
  <c r="E70" i="7" s="1"/>
  <c r="F70" i="7"/>
  <c r="C71" i="7" l="1"/>
  <c r="F71" i="7"/>
  <c r="C72" i="7" l="1"/>
  <c r="E72" i="7" s="1"/>
  <c r="F72" i="7"/>
  <c r="E71" i="7"/>
  <c r="G71" i="7" s="1"/>
  <c r="H71" i="7"/>
  <c r="U72" i="2" l="1"/>
  <c r="U74" i="2" s="1"/>
  <c r="U76" i="2" s="1"/>
  <c r="I71" i="7"/>
  <c r="F73" i="7"/>
  <c r="C73" i="7"/>
  <c r="E73" i="7" s="1"/>
  <c r="F74" i="7" l="1"/>
  <c r="C74" i="7"/>
  <c r="E74" i="7" s="1"/>
  <c r="U77" i="2"/>
  <c r="U79" i="2"/>
  <c r="U84" i="2" s="1"/>
  <c r="U86" i="2" s="1"/>
  <c r="U87" i="2" l="1"/>
  <c r="U89" i="2"/>
  <c r="E4" i="8" s="1"/>
  <c r="F75" i="7"/>
  <c r="C75" i="7"/>
  <c r="E75" i="7" s="1"/>
  <c r="C76" i="7" l="1"/>
  <c r="E76" i="7" s="1"/>
  <c r="F76" i="7"/>
  <c r="C28" i="8"/>
  <c r="I28" i="8" s="1"/>
  <c r="E6" i="8" l="1"/>
  <c r="C28" i="9"/>
  <c r="J54" i="8" s="1"/>
  <c r="J55" i="8" s="1"/>
  <c r="C29" i="9"/>
  <c r="J28" i="8"/>
  <c r="K28" i="8" s="1"/>
  <c r="F77" i="7"/>
  <c r="C77" i="7"/>
  <c r="E77" i="7" s="1"/>
  <c r="J29" i="8" l="1"/>
  <c r="J33" i="8"/>
  <c r="J32" i="8"/>
  <c r="J31" i="8"/>
  <c r="J30" i="8"/>
  <c r="F78" i="7"/>
  <c r="C78" i="7"/>
  <c r="E78" i="7" s="1"/>
  <c r="J35" i="8"/>
  <c r="E22" i="8"/>
  <c r="E23" i="8" s="1"/>
  <c r="J56" i="8"/>
  <c r="I34" i="8" s="1"/>
  <c r="E7" i="8" l="1"/>
  <c r="J34" i="8"/>
  <c r="E8" i="8" s="1"/>
  <c r="K29" i="8"/>
  <c r="F79" i="7"/>
  <c r="C79" i="7"/>
  <c r="E79" i="7" s="1"/>
  <c r="E13" i="8" l="1"/>
  <c r="E17" i="8" s="1"/>
  <c r="E18" i="8" s="1"/>
  <c r="F80" i="7"/>
  <c r="C80" i="7"/>
  <c r="E80" i="7" s="1"/>
  <c r="K30" i="8"/>
  <c r="K31" i="8" l="1"/>
  <c r="K32" i="8" s="1"/>
  <c r="F81" i="7"/>
  <c r="C81" i="7"/>
  <c r="E81" i="7" s="1"/>
  <c r="K33" i="8" l="1"/>
  <c r="K37" i="8"/>
  <c r="K39" i="8" s="1"/>
  <c r="C82" i="7"/>
  <c r="E82" i="7" s="1"/>
  <c r="F82" i="7"/>
  <c r="K38" i="8" l="1"/>
  <c r="K34" i="8" s="1"/>
  <c r="E10" i="8" s="1"/>
  <c r="F83" i="7"/>
  <c r="C83" i="7"/>
  <c r="E83" i="7" s="1"/>
  <c r="F84" i="7" l="1"/>
  <c r="C84" i="7"/>
  <c r="E84" i="7" s="1"/>
  <c r="F85" i="7" l="1"/>
  <c r="C85" i="7"/>
  <c r="E85" i="7" s="1"/>
  <c r="C86" i="7" l="1"/>
  <c r="E86" i="7" s="1"/>
  <c r="F86" i="7"/>
  <c r="F87" i="7" l="1"/>
  <c r="C87" i="7"/>
  <c r="E87" i="7" s="1"/>
  <c r="F88" i="7" l="1"/>
  <c r="C88" i="7"/>
  <c r="E88" i="7" s="1"/>
  <c r="F89" i="7" l="1"/>
  <c r="C89" i="7"/>
  <c r="E89" i="7" s="1"/>
  <c r="F90" i="7" l="1"/>
  <c r="C90" i="7"/>
  <c r="E90" i="7" s="1"/>
  <c r="F91" i="7" l="1"/>
  <c r="C91" i="7"/>
  <c r="E91" i="7" s="1"/>
  <c r="C92" i="7" l="1"/>
  <c r="E92" i="7" s="1"/>
  <c r="F92" i="7"/>
  <c r="F93" i="7" l="1"/>
  <c r="C93" i="7"/>
  <c r="E93" i="7" s="1"/>
  <c r="F94" i="7" l="1"/>
  <c r="C94" i="7"/>
  <c r="E94" i="7" s="1"/>
  <c r="F95" i="7" l="1"/>
  <c r="C95" i="7"/>
  <c r="E95" i="7" s="1"/>
  <c r="C96" i="7" l="1"/>
  <c r="E96" i="7" s="1"/>
  <c r="F96" i="7"/>
  <c r="F97" i="7" l="1"/>
  <c r="C97" i="7"/>
  <c r="E97" i="7" s="1"/>
  <c r="F98" i="7" l="1"/>
  <c r="C98" i="7"/>
  <c r="E98" i="7" s="1"/>
  <c r="F99" i="7" l="1"/>
  <c r="C99" i="7"/>
  <c r="E99" i="7" s="1"/>
  <c r="F100" i="7" l="1"/>
  <c r="C100" i="7"/>
  <c r="E100" i="7" s="1"/>
  <c r="F101" i="7" l="1"/>
  <c r="C101" i="7"/>
  <c r="E101" i="7" s="1"/>
  <c r="C102" i="7" l="1"/>
  <c r="E102" i="7" s="1"/>
  <c r="F102" i="7"/>
  <c r="F103" i="7" l="1"/>
  <c r="C103" i="7"/>
  <c r="E103" i="7" s="1"/>
  <c r="F104" i="7" l="1"/>
  <c r="C104" i="7"/>
  <c r="E104" i="7" s="1"/>
  <c r="F105" i="7" l="1"/>
  <c r="C105" i="7"/>
  <c r="E105" i="7" s="1"/>
  <c r="C106" i="7" l="1"/>
  <c r="E106" i="7" s="1"/>
  <c r="F106" i="7"/>
  <c r="F107" i="7" l="1"/>
  <c r="C107" i="7"/>
  <c r="E107" i="7" s="1"/>
  <c r="F108" i="7" l="1"/>
  <c r="C108" i="7"/>
  <c r="E108" i="7" s="1"/>
  <c r="F109" i="7" l="1"/>
  <c r="C109" i="7"/>
  <c r="E109" i="7" s="1"/>
  <c r="F110" i="7" l="1"/>
  <c r="C110" i="7"/>
  <c r="E110" i="7" s="1"/>
  <c r="F111" i="7" l="1"/>
  <c r="C111" i="7"/>
  <c r="E111" i="7" s="1"/>
  <c r="C112" i="7" l="1"/>
  <c r="E112" i="7" s="1"/>
  <c r="F112" i="7"/>
  <c r="F113" i="7" l="1"/>
  <c r="C113" i="7"/>
  <c r="E113" i="7" s="1"/>
  <c r="F114" i="7" l="1"/>
  <c r="C114" i="7"/>
  <c r="E114" i="7" s="1"/>
  <c r="F115" i="7" l="1"/>
  <c r="C115" i="7"/>
  <c r="E115" i="7" s="1"/>
  <c r="C116" i="7" l="1"/>
  <c r="E116" i="7" s="1"/>
  <c r="F116" i="7"/>
  <c r="F117" i="7" l="1"/>
  <c r="C117" i="7"/>
  <c r="E117" i="7" s="1"/>
  <c r="F118" i="7" l="1"/>
  <c r="C118" i="7"/>
  <c r="E118" i="7" s="1"/>
  <c r="F119" i="7" l="1"/>
  <c r="C119" i="7"/>
  <c r="E119" i="7" s="1"/>
  <c r="F120" i="7" l="1"/>
  <c r="C120" i="7"/>
  <c r="E120" i="7" s="1"/>
  <c r="F121" i="7" l="1"/>
  <c r="C121" i="7"/>
  <c r="E121" i="7" s="1"/>
  <c r="C122" i="7" l="1"/>
  <c r="E122" i="7" s="1"/>
  <c r="F122" i="7"/>
  <c r="F123" i="7" l="1"/>
  <c r="C123" i="7"/>
  <c r="E123" i="7" s="1"/>
  <c r="F124" i="7" l="1"/>
  <c r="C124" i="7"/>
  <c r="E124" i="7" s="1"/>
  <c r="F125" i="7" l="1"/>
  <c r="C125" i="7"/>
  <c r="E125" i="7" s="1"/>
  <c r="C126" i="7" l="1"/>
  <c r="E126" i="7" s="1"/>
  <c r="F126" i="7"/>
  <c r="F127" i="7" l="1"/>
  <c r="C127" i="7"/>
  <c r="E127" i="7" s="1"/>
  <c r="F128" i="7" l="1"/>
  <c r="C128" i="7"/>
  <c r="E128" i="7" s="1"/>
  <c r="F129" i="7" l="1"/>
  <c r="C129" i="7"/>
  <c r="E129" i="7" s="1"/>
  <c r="F130" i="7" l="1"/>
  <c r="C130" i="7"/>
  <c r="E130" i="7" s="1"/>
  <c r="F131" i="7" l="1"/>
  <c r="C131" i="7"/>
  <c r="E131" i="7" s="1"/>
</calcChain>
</file>

<file path=xl/sharedStrings.xml><?xml version="1.0" encoding="utf-8"?>
<sst xmlns="http://schemas.openxmlformats.org/spreadsheetml/2006/main" count="432" uniqueCount="316">
  <si>
    <t>MI ZAPATO, SA DE CV</t>
  </si>
  <si>
    <t>VALUACIÓN</t>
  </si>
  <si>
    <t>MI ZAPATO, S.A. DE C.V.</t>
  </si>
  <si>
    <t>Estado de Resultados Proyectados del 1 de enero al 31 de diciembre, 2026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</si>
  <si>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</si>
  <si>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</si>
  <si>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</si>
  <si>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</si>
  <si>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</si>
  <si>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</si>
  <si>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</si>
  <si>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</si>
  <si>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</si>
  <si>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</si>
  <si>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</si>
  <si>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</si>
  <si>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AÑO 1</t>
  </si>
  <si>
    <t>AÑO 2</t>
  </si>
  <si>
    <t>AÑO 3</t>
  </si>
  <si>
    <t>AÑO 4</t>
  </si>
  <si>
    <t>AÑO 5</t>
  </si>
  <si>
    <t>Modelo 1 (40%)</t>
  </si>
  <si>
    <t>Modelo 2 (30%)</t>
  </si>
  <si>
    <t>Modelo 3 (20%)</t>
  </si>
  <si>
    <t>Modelo 4 (10%)</t>
  </si>
  <si>
    <t>Unidades</t>
  </si>
  <si>
    <t>Ventas</t>
  </si>
  <si>
    <t>Crecimiento vs. Período Anterior</t>
  </si>
  <si>
    <t>COSTOS</t>
  </si>
  <si>
    <t>Piel tipo 1</t>
  </si>
  <si>
    <t>Piel tipo 2</t>
  </si>
  <si>
    <t>Piel tipo 3</t>
  </si>
  <si>
    <t>Piel tipo 4</t>
  </si>
  <si>
    <t>Suela Piel</t>
  </si>
  <si>
    <t>Suela Madera</t>
  </si>
  <si>
    <t>Pegamento</t>
  </si>
  <si>
    <t>Agujetas</t>
  </si>
  <si>
    <t>Hilo</t>
  </si>
  <si>
    <t>Técnico 1</t>
  </si>
  <si>
    <t>Técnico 2</t>
  </si>
  <si>
    <t>Técnico 3</t>
  </si>
  <si>
    <t>Técnico 4</t>
  </si>
  <si>
    <t>Energía Eléctrica</t>
  </si>
  <si>
    <t>Total Costos Variables</t>
  </si>
  <si>
    <t>% sobre las ventas</t>
  </si>
  <si>
    <t>Utilidad Bruta</t>
  </si>
  <si>
    <t>GASTOS</t>
  </si>
  <si>
    <t>GASTOS ADMINISTRATIVOS</t>
  </si>
  <si>
    <t>GASTOS OPERATIVOS</t>
  </si>
  <si>
    <t>GASTOS DE VENTA</t>
  </si>
  <si>
    <t>Bolsas</t>
  </si>
  <si>
    <t>Cajas</t>
  </si>
  <si>
    <t>Promoción Redes Sociales</t>
  </si>
  <si>
    <t>Total Gastos Fijos</t>
  </si>
  <si>
    <t>Depreciación Máquina 1</t>
  </si>
  <si>
    <t>Depreciación Máquina 2</t>
  </si>
  <si>
    <t>Depreciación Máquina 3</t>
  </si>
  <si>
    <t>Total Depreciaciones</t>
  </si>
  <si>
    <t>Amortización Inversión 1</t>
  </si>
  <si>
    <t>Amortización Inversión 2</t>
  </si>
  <si>
    <t>Total Amortizaciones</t>
  </si>
  <si>
    <t>Utilidad de Operación</t>
  </si>
  <si>
    <t>Préstamo Bancario</t>
  </si>
  <si>
    <t>Total Gasto Financiero</t>
  </si>
  <si>
    <t>Utilidad Antes de Impuestos</t>
  </si>
  <si>
    <t>IMSS</t>
  </si>
  <si>
    <t>INFONAVIT</t>
  </si>
  <si>
    <t>Otros</t>
  </si>
  <si>
    <t>Total Impuestos</t>
  </si>
  <si>
    <t>UTILIDAD NETA</t>
  </si>
  <si>
    <t>Utilidad Acumulada</t>
  </si>
  <si>
    <t>EBITDA</t>
  </si>
  <si>
    <t>LISTA DE MATERIALES</t>
  </si>
  <si>
    <t>Costo Unitario</t>
  </si>
  <si>
    <t>MODELO 1</t>
  </si>
  <si>
    <t>metros</t>
  </si>
  <si>
    <t>pzas</t>
  </si>
  <si>
    <t>lt</t>
  </si>
  <si>
    <t>hrs</t>
  </si>
  <si>
    <t>COSTO ESTÁNDAR SIN ABSORCIÓN DE GASTO</t>
  </si>
  <si>
    <t>MODELO 2</t>
  </si>
  <si>
    <t>MODELO 3</t>
  </si>
  <si>
    <t>MODELO 4</t>
  </si>
  <si>
    <t>ITEM</t>
  </si>
  <si>
    <t>Costo Total</t>
  </si>
  <si>
    <t>Volumen</t>
  </si>
  <si>
    <t>Volumen por pieza</t>
  </si>
  <si>
    <t># Piezas</t>
  </si>
  <si>
    <t>MAT. PRIMA</t>
  </si>
  <si>
    <t>m</t>
  </si>
  <si>
    <t>p</t>
  </si>
  <si>
    <t>l</t>
  </si>
  <si>
    <t>Total Horas</t>
  </si>
  <si>
    <t>Hr x pza</t>
  </si>
  <si>
    <t>Pzas x Tec</t>
  </si>
  <si>
    <t>MANO DE OBRA</t>
  </si>
  <si>
    <t>pax</t>
  </si>
  <si>
    <t>Cap. Instalada:</t>
  </si>
  <si>
    <t>pzas.</t>
  </si>
  <si>
    <t>bim</t>
  </si>
  <si>
    <t>Venta proyectada:</t>
  </si>
  <si>
    <t>Diferencia:</t>
  </si>
  <si>
    <t>ESTRUCTURA DE GASTOS</t>
  </si>
  <si>
    <t>GASTO ADMINISTRATIVO</t>
  </si>
  <si>
    <t>CEO - PARTNER</t>
  </si>
  <si>
    <t>CMO - PARTNER</t>
  </si>
  <si>
    <t>DISEÑO</t>
  </si>
  <si>
    <t>GTE DE PLANTA</t>
  </si>
  <si>
    <t xml:space="preserve">ASISTENTE </t>
  </si>
  <si>
    <t>GASTO OPERATIVO</t>
  </si>
  <si>
    <t>AÑO 1-2</t>
  </si>
  <si>
    <t>RENTA OFICINA</t>
  </si>
  <si>
    <t>Cambio de oficinas</t>
  </si>
  <si>
    <t>GASTOS DE OPERACIÓN</t>
  </si>
  <si>
    <t>GASTO ADMON. / CONTAB.</t>
  </si>
  <si>
    <t>ARRENDAMIENTO COMPUTADORAS</t>
  </si>
  <si>
    <t>OTROS GASTOS DE PRODUCCIÓN</t>
  </si>
  <si>
    <t>GASTO VENTA</t>
  </si>
  <si>
    <t>MKT / SOCIAL MEDIA</t>
  </si>
  <si>
    <t>BOLSAS</t>
  </si>
  <si>
    <t>Gasto Total</t>
  </si>
  <si>
    <t>CAJA</t>
  </si>
  <si>
    <t>DEPRECIACIÓN EN AÑOS</t>
  </si>
  <si>
    <t>MÁQUINA SINGER M-1000</t>
  </si>
  <si>
    <t>Inversión</t>
  </si>
  <si>
    <t>Depr Anual</t>
  </si>
  <si>
    <t>Depr Mes</t>
  </si>
  <si>
    <t>Computadoras</t>
  </si>
  <si>
    <t>M1</t>
  </si>
  <si>
    <t>Autos</t>
  </si>
  <si>
    <t>M2</t>
  </si>
  <si>
    <t>Muebles</t>
  </si>
  <si>
    <t>Máquinas</t>
  </si>
  <si>
    <t>MÁQUINA SIYO 9000</t>
  </si>
  <si>
    <t>M3</t>
  </si>
  <si>
    <t>ACONDICIONAR TALLER</t>
  </si>
  <si>
    <t>Amort Mes</t>
  </si>
  <si>
    <t>ACONDICIONAMIENTO OFICINAS</t>
  </si>
  <si>
    <t>Tasa de Impuestos</t>
  </si>
  <si>
    <t>PTU</t>
  </si>
  <si>
    <t>INFLACIÓN</t>
  </si>
  <si>
    <t>Costo Unitario (MP &amp; MOD)</t>
  </si>
  <si>
    <t>Absorción Gasto</t>
  </si>
  <si>
    <t>% de Gasto vs Costo</t>
  </si>
  <si>
    <t>COSTO UNITARIO ESTÁNDAR</t>
  </si>
  <si>
    <t>Margen Esperado</t>
  </si>
  <si>
    <t>Precio de Venta</t>
  </si>
  <si>
    <t>Redondeo</t>
  </si>
  <si>
    <t>Volumen estimado de Venta (pzas)</t>
  </si>
  <si>
    <t>Absorción por pieza</t>
  </si>
  <si>
    <t>GASTO DE VENTA</t>
  </si>
  <si>
    <t>Total Gastos</t>
  </si>
  <si>
    <t>TABLA DE AMORTIZACIÓN FINANCIERA A SALDOS INSOLUTOS</t>
  </si>
  <si>
    <t>MONTO</t>
  </si>
  <si>
    <t>TASA ANUAL TOTAL</t>
  </si>
  <si>
    <t>TASA MENSUAL</t>
  </si>
  <si>
    <t>PLAZO MENSUAL</t>
  </si>
  <si>
    <t>PLAZO (en años)</t>
  </si>
  <si>
    <t>CAPITAL A AMORTIZAR</t>
  </si>
  <si>
    <t>Año</t>
  </si>
  <si>
    <t>Período</t>
  </si>
  <si>
    <t>Interes</t>
  </si>
  <si>
    <t>Capital</t>
  </si>
  <si>
    <t>Pago mensual DECRECIENTE</t>
  </si>
  <si>
    <t>Saldo pendiente</t>
  </si>
  <si>
    <t>Pago año presupuesto</t>
  </si>
  <si>
    <t>Pago año INTERESES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</si>
  <si>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</si>
  <si>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</si>
  <si>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</si>
  <si>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</si>
  <si>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</si>
  <si>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</si>
  <si>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</si>
  <si>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</si>
  <si>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</si>
  <si>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</si>
  <si>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</si>
  <si>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</si>
  <si>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</si>
  <si>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</si>
  <si>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</si>
  <si>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</si>
  <si>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</si>
  <si>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</si>
  <si>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</si>
  <si>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</si>
  <si>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</si>
  <si>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</si>
  <si>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</si>
  <si>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</si>
  <si>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</si>
  <si>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</si>
  <si>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</si>
  <si>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</si>
  <si>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</si>
  <si>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</si>
  <si>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</si>
  <si>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</si>
  <si>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</si>
  <si>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</si>
  <si>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</si>
  <si>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</si>
  <si>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</si>
  <si>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</si>
  <si>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</si>
  <si>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</si>
  <si>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</si>
  <si>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</si>
  <si>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</si>
  <si>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</si>
  <si>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</si>
  <si>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</si>
  <si>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</si>
  <si>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</si>
  <si>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</si>
  <si>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</si>
  <si>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</si>
  <si>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</si>
  <si>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</si>
  <si>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</si>
  <si>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</si>
  <si>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</si>
  <si>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</si>
  <si>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</si>
  <si>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</si>
  <si>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</si>
  <si>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ANÁLISIS DE RENTABILIDAD DEL NEGOCIO</t>
  </si>
  <si>
    <t>INVERSIÓN TOTAL</t>
  </si>
  <si>
    <t>DATOS / Análisis y si</t>
  </si>
  <si>
    <t>TIR (5 años):</t>
  </si>
  <si>
    <t>TIR (a perpetuidad):</t>
  </si>
  <si>
    <t>VALOR PRESENTE NETO (en periodo de análisis):</t>
  </si>
  <si>
    <t>PUNTO DE EQUILIBRIO AL AÑO:</t>
  </si>
  <si>
    <t>RETORNO DE LA INVERSIÓN AL AÑO:</t>
  </si>
  <si>
    <t>VALUACIÓN POR FLUJOS DESCONTADOS</t>
  </si>
  <si>
    <t>VALOR BRUTO DE LA EMPRESA (Enterprise Value):</t>
  </si>
  <si>
    <t>PASIVOS LABORABLES</t>
  </si>
  <si>
    <t>PASIVOS FINANCIEROS</t>
  </si>
  <si>
    <t>VALOR NETO DE LA EMPRESA (Equity Value):</t>
  </si>
  <si>
    <t>Inversión / Valor Neto (% de la empresa):</t>
  </si>
  <si>
    <t>VALUACIÓN POR MÚLTIPLOS</t>
  </si>
  <si>
    <t>MÚLTIPLOS EBIT (a valor presente):</t>
  </si>
  <si>
    <t>Inversión / Valuación (% de la empresa):</t>
  </si>
  <si>
    <t>AÑO</t>
  </si>
  <si>
    <t>INVERSIÓN INICIAL</t>
  </si>
  <si>
    <t>UTILIDAD DE OPERACIÓN (EBIT)</t>
  </si>
  <si>
    <t>NOPAT</t>
  </si>
  <si>
    <t>+ D&amp;A</t>
  </si>
  <si>
    <t>+/- VAR. EN EL CAP. DE TRABAJO</t>
  </si>
  <si>
    <t>+/- INVERSIÓN DE ACTIVO FIJO (CAPEX)</t>
  </si>
  <si>
    <t>VPN</t>
  </si>
  <si>
    <t>DPBP (Discount Payback Period) Efectivo</t>
  </si>
  <si>
    <t>Flujo c/ Valor Terminal</t>
  </si>
  <si>
    <t>Perpetuidad:</t>
  </si>
  <si>
    <t>ULTIMO PERIODO EN NEGATIVO</t>
  </si>
  <si>
    <t>ULTIMA CANTIDAD NEGATIVA (+)</t>
  </si>
  <si>
    <t>PRIMER FLUJO DE EFECTIVO POSITIVO</t>
  </si>
  <si>
    <t>BREAK EVEN POINT</t>
  </si>
  <si>
    <t>Tasa de crecimiento de la Perpetuidad</t>
  </si>
  <si>
    <t>Siguiente flujo con Tasa de crecimiento de la Perpetuidad</t>
  </si>
  <si>
    <t>Tasa de Perpetuidad</t>
  </si>
  <si>
    <t>VALOR TERMINAL (PERPETUIDAD)</t>
  </si>
  <si>
    <t>VALOR TERMINAL (PERPETUIDAD) A VP</t>
  </si>
  <si>
    <t>CXC</t>
  </si>
  <si>
    <t>INVENTARIOS</t>
  </si>
  <si>
    <t>CXP</t>
  </si>
  <si>
    <t>VAR. CAP. TRABAJO</t>
  </si>
  <si>
    <t>CAP. TRABAJO NETO</t>
  </si>
  <si>
    <t>SUPUESTOS DE CAPITAL DE TRABAJO</t>
  </si>
  <si>
    <t>Días Cartera (DSO)</t>
  </si>
  <si>
    <t>Días Inventario (DIO)</t>
  </si>
  <si>
    <t>Días Proveedores (DPO)</t>
  </si>
  <si>
    <t>Días base (año)</t>
  </si>
  <si>
    <t xml:space="preserve">CALCULO DE COSTO DE CAPITAL </t>
  </si>
  <si>
    <t>Observaciones</t>
  </si>
  <si>
    <t>Tasa libre de Riesgo Prom esperado a 10 años</t>
  </si>
  <si>
    <t>Bono  10 años  SEP 2025</t>
  </si>
  <si>
    <t>Beta</t>
  </si>
  <si>
    <t>Unlevered beta Apparel/Footwear (Damodaran, ene-2026)</t>
  </si>
  <si>
    <t>Prima de Riesgo de Mercado (ERP madura)</t>
  </si>
  <si>
    <t>ERP implicita S&amp;P 500 (Damodaran, 2025)</t>
  </si>
  <si>
    <t>Empresa pequeña</t>
  </si>
  <si>
    <t>Conocimiento especializado y data analytics con valor futuro en el mercado</t>
  </si>
  <si>
    <t>Startup</t>
  </si>
  <si>
    <t>Premio por Startup</t>
  </si>
  <si>
    <t xml:space="preserve">TOTAL PREMIO RIESGO </t>
  </si>
  <si>
    <t>Country risk premium</t>
  </si>
  <si>
    <t>Convencionalismo</t>
  </si>
  <si>
    <t>Costo de Capital Nominal (CAPM-N)</t>
  </si>
  <si>
    <t xml:space="preserve">Inflación </t>
  </si>
  <si>
    <t>Costo de Capital Real (CAPM)</t>
  </si>
  <si>
    <t>Costo de deuda nominal</t>
  </si>
  <si>
    <t>Costo de deuda antes de imptos</t>
  </si>
  <si>
    <t>TIIE + 3.5</t>
  </si>
  <si>
    <t>Tasa de impuestos</t>
  </si>
  <si>
    <t>Tasa ISR</t>
  </si>
  <si>
    <t>Costo de deuda real</t>
  </si>
  <si>
    <t xml:space="preserve">Proporcion de capital </t>
  </si>
  <si>
    <t>Proporción de deuda</t>
  </si>
  <si>
    <t>WACC nominal</t>
  </si>
  <si>
    <t>WACC real</t>
  </si>
  <si>
    <t>IPC en los últimos años</t>
  </si>
  <si>
    <t>Promedio Últimos 20 años</t>
  </si>
  <si>
    <t>Promedio Últimos 15 años</t>
  </si>
  <si>
    <t>Promedio Últimos 10 años</t>
  </si>
  <si>
    <t>REFERENCIAS:</t>
  </si>
  <si>
    <t>http://www.banxico.org.mx/SieInternet/consultarDirectorioInternetAction.do?accion=consultarCuadro&amp;idCuadro=CF107&amp;sector=22&amp;locale=es</t>
  </si>
  <si>
    <t>http://www.banxico.org.mx/portal-inflacion/inflacion.html</t>
  </si>
  <si>
    <t>http://finance.yahoo.com/q/hp?s=%5EMXX+Historical+Prices</t>
  </si>
  <si>
    <t>http://eleconomista.com.mx/mercados-estadisticas/2014/05/22/mejora-pronostico-ipc</t>
  </si>
  <si>
    <t>https://mx.investing.com/rates-bonds/mexico-10-year</t>
  </si>
  <si>
    <t>Crecimiento anual</t>
  </si>
  <si>
    <t>Clientes con Crédito</t>
  </si>
  <si>
    <t>Costo por Pieza</t>
  </si>
  <si>
    <t>Pago ISR + PTU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</si>
</sst>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164" formatCode="_(* #,##0.00_);_(* \(#,##0.00\);_(* \-??_);_(@_)"/>
    <numFmt numFmtId="165" formatCode="_(\$* #,##0.00_);_(\$* \(#,##0.00\);_(\$* \-??_);_(@_)"/>
    <numFmt numFmtId="166" formatCode="#,##0_);[Red]\(#,##0\)"/>
    <numFmt numFmtId="167" formatCode="#,##0_ ;[Red]\-#,##0\ "/>
    <numFmt numFmtId="168" formatCode="0%;[Red]\-#%"/>
    <numFmt numFmtId="169" formatCode="#,##0.00_ ;[Red]\-#,##0.00\ "/>
    <numFmt numFmtId="170" formatCode="0.0%;[Red]\-#%"/>
    <numFmt numFmtId="171" formatCode="_-\$* #,##0_-;&quot;-$&quot;* #,##0_-;_-\$* \-??_-;_-@_-"/>
    <numFmt numFmtId="172" formatCode="_-* #,##0_-;\-* #,##0_-;_-* \-??_-;_-@_-"/>
    <numFmt numFmtId="173" formatCode="_-\$* #,##0.00_-;&quot;-$&quot;* #,##0.00_-;_-\$* \-??_-;_-@_-"/>
    <numFmt numFmtId="174" formatCode="_-\$* #,##0.000_-;&quot;-$&quot;* #,##0.000_-;_-\$* \-??_-;_-@_-"/>
    <numFmt numFmtId="175" formatCode="#,##0.00_);[Red]\(#,##0.00\)"/>
    <numFmt numFmtId="176" formatCode="#,##0.000;[Red]\-#,##0.000"/>
    <numFmt numFmtId="177" formatCode="0.0%"/>
    <numFmt numFmtId="178" formatCode="\$#,##0;[Red]&quot;-$&quot;#,##0"/>
    <numFmt numFmtId="179" formatCode="\$#,##0.00;[Red]&quot;-$&quot;#,##0.00"/>
    <numFmt numFmtId="180" formatCode="0.0\x"/>
    <numFmt numFmtId="181" formatCode="#,##0.0_ ;[Red]\-#,##0.0\ "/>
    <numFmt numFmtId="182" formatCode="_-* #,##0.00_-;\-* #,##0.00_-;_-* \-??_-;_-@_-"/>
    <numFmt numFmtId="183" formatCode="#,##0_ ;\-#,##0\ "/>
    <numFmt numFmtId="184" formatCode="\$#,##0;&quot;-$&quot;#,##0"/>
    <numFmt numFmtId="185" formatCode="_-* #,##0.000_-;\-* #,##0.000_-;_-* \-??_-;_-@_-"/>
    <numFmt numFmtId="186" formatCode="0.000"/>
    <numFmt numFmtId="187" formatCode="_-* #,##0.0000_-;\-* #,##0.0000_-;_-* \-??_-;_-@_-"/>
    <numFmt numFmtId="188" formatCode="0.0%;[Red]\-#.0%"/>
  </numFmts>
  <fonts count="54">
    <font>
      <sz val="11"/>
      <color theme="1"/>
      <name val="ArialNarrow"/>
      <family val="2"/>
      <charset val="1"/>
    </font>
    <font>
      <sz val="10"/>
      <name val="Arial"/>
      <family val="2"/>
    </font>
    <font>
      <u/>
      <sz val="11"/>
      <color theme="10"/>
      <name val="Aptos Narrow"/>
      <family val="2"/>
      <charset val="1"/>
    </font>
    <font>
      <sz val="11"/>
      <color theme="1"/>
      <name val="Aptos Narrow"/>
      <family val="2"/>
      <charset val="1"/>
    </font>
    <font>
      <sz val="10"/>
      <color rgb="FF000000"/>
      <name val="Helvetica Neue"/>
      <family val="2"/>
      <charset val="1"/>
    </font>
    <font>
      <sz val="10"/>
      <name val="Arial"/>
      <family val="2"/>
      <charset val="1"/>
    </font>
    <font>
      <sz val="28"/>
      <color theme="1" tint="0.49989318521683401"/>
      <name val="Inter 18pt 18pt Black"/>
      <charset val="1"/>
    </font>
    <font>
      <sz val="14"/>
      <color rgb="FFAB4122"/>
      <name val="Inter 18pt 18pt Bold"/>
      <charset val="1"/>
    </font>
    <font>
      <sz val="11"/>
      <color theme="1"/>
      <name val="Arial Narrow"/>
      <family val="2"/>
      <charset val="1"/>
    </font>
    <font>
      <sz val="11"/>
      <color theme="1" tint="0.49989318521683401"/>
      <name val="Arial Narrow"/>
      <family val="2"/>
      <charset val="1"/>
    </font>
    <font>
      <sz val="11"/>
      <color rgb="FFFF0000"/>
      <name val="Arial Narrow"/>
      <family val="2"/>
      <charset val="1"/>
    </font>
    <font>
      <b/>
      <sz val="14"/>
      <color theme="1"/>
      <name val="Arial Narrow"/>
      <family val="2"/>
      <charset val="1"/>
    </font>
    <font>
      <sz val="14"/>
      <color theme="1"/>
      <name val="Arial Narrow"/>
      <family val="2"/>
      <charset val="1"/>
    </font>
    <font>
      <b/>
      <sz val="11"/>
      <color theme="0"/>
      <name val="Arial Narrow"/>
      <family val="2"/>
      <charset val="1"/>
    </font>
    <font>
      <b/>
      <sz val="11"/>
      <color theme="4" tint="-0.249977111117893"/>
      <name val="Arial Narrow"/>
      <family val="2"/>
      <charset val="1"/>
    </font>
    <font>
      <b/>
      <sz val="11"/>
      <color theme="1"/>
      <name val="Arial Narrow"/>
      <family val="2"/>
      <charset val="1"/>
    </font>
    <font>
      <b/>
      <sz val="11"/>
      <color theme="1" tint="0.49989318521683401"/>
      <name val="Arial Narrow"/>
      <family val="2"/>
      <charset val="1"/>
    </font>
    <font>
      <i/>
      <sz val="9"/>
      <color theme="1"/>
      <name val="Arial Narrow"/>
      <family val="2"/>
      <charset val="1"/>
    </font>
    <font>
      <i/>
      <sz val="9"/>
      <color theme="1" tint="0.49989318521683401"/>
      <name val="Arial Narrow"/>
      <family val="2"/>
      <charset val="1"/>
    </font>
    <font>
      <b/>
      <sz val="22"/>
      <color theme="1"/>
      <name val="Arial Narrow"/>
      <family val="2"/>
      <charset val="1"/>
    </font>
    <font>
      <b/>
      <sz val="12"/>
      <color theme="1"/>
      <name val="Arial Narrow"/>
      <family val="2"/>
      <charset val="1"/>
    </font>
    <font>
      <b/>
      <sz val="12"/>
      <color theme="1" tint="0.49989318521683401"/>
      <name val="Arial Narrow"/>
      <family val="2"/>
      <charset val="1"/>
    </font>
    <font>
      <b/>
      <sz val="12"/>
      <color theme="4" tint="-0.249977111117893"/>
      <name val="Arial Narrow"/>
      <family val="2"/>
      <charset val="1"/>
    </font>
    <font>
      <b/>
      <sz val="9"/>
      <color theme="1"/>
      <name val="Arial Narrow"/>
      <family val="2"/>
      <charset val="1"/>
    </font>
    <font>
      <b/>
      <sz val="18"/>
      <color theme="1"/>
      <name val="Arial Narrow"/>
      <family val="2"/>
      <charset val="1"/>
    </font>
    <font>
      <b/>
      <sz val="11"/>
      <color theme="1"/>
      <name val="ArialNarrow"/>
      <charset val="1"/>
    </font>
    <font>
      <sz val="11"/>
      <color theme="1"/>
      <name val="ArialNarrow"/>
      <charset val="1"/>
    </font>
    <font>
      <sz val="9"/>
      <color theme="1"/>
      <name val="Arial Narrow"/>
      <family val="2"/>
      <charset val="1"/>
    </font>
    <font>
      <sz val="10"/>
      <color rgb="FF000000"/>
      <name val="Arial Narrow"/>
      <family val="2"/>
      <charset val="1"/>
    </font>
    <font>
      <u/>
      <sz val="10"/>
      <color rgb="FF000000"/>
      <name val="Arial Narrow"/>
      <family val="2"/>
      <charset val="1"/>
    </font>
    <font>
      <b/>
      <sz val="10"/>
      <color rgb="FF000000"/>
      <name val="Arial Narrow"/>
      <family val="2"/>
      <charset val="1"/>
    </font>
    <font>
      <sz val="10"/>
      <color theme="0" tint="-0.499984740745262"/>
      <name val="Arial Narrow"/>
      <family val="2"/>
      <charset val="1"/>
    </font>
    <font>
      <b/>
      <sz val="10"/>
      <color theme="0"/>
      <name val="Arial Narrow"/>
      <family val="2"/>
      <charset val="1"/>
    </font>
    <font>
      <sz val="11"/>
      <color theme="2" tint="-0.249977111117893"/>
      <name val="Arial Narrow"/>
      <family val="2"/>
      <charset val="1"/>
    </font>
    <font>
      <sz val="12"/>
      <color theme="1"/>
      <name val="Arial Narrow"/>
      <family val="2"/>
      <charset val="1"/>
    </font>
    <font>
      <sz val="12"/>
      <color theme="2" tint="-0.249977111117893"/>
      <name val="Arial Narrow"/>
      <family val="2"/>
      <charset val="1"/>
    </font>
    <font>
      <b/>
      <sz val="14"/>
      <color rgb="FFC00000"/>
      <name val="Arial Narrow"/>
      <family val="2"/>
      <charset val="1"/>
    </font>
    <font>
      <b/>
      <sz val="11"/>
      <name val="Arial Narrow"/>
      <family val="2"/>
      <charset val="1"/>
    </font>
    <font>
      <b/>
      <sz val="11"/>
      <name val="Arial Narrow"/>
      <family val="2"/>
    </font>
    <font>
      <sz val="11"/>
      <name val="Arial Narrow"/>
      <family val="2"/>
    </font>
    <font>
      <sz val="11"/>
      <name val="Arial Narrow"/>
      <family val="2"/>
      <charset val="1"/>
    </font>
    <font>
      <b/>
      <sz val="11"/>
      <color theme="0" tint="-4.9989318521683403E-2"/>
      <name val="Arial Narrow"/>
      <family val="2"/>
      <charset val="1"/>
    </font>
    <font>
      <sz val="11"/>
      <color theme="0" tint="-4.9989318521683403E-2"/>
      <name val="Arial Narrow"/>
      <family val="2"/>
      <charset val="1"/>
    </font>
    <font>
      <sz val="11"/>
      <color rgb="FF0000FF"/>
      <name val="Arial Narrow"/>
      <family val="2"/>
    </font>
    <font>
      <b/>
      <sz val="10"/>
      <name val="Arial Narrow"/>
      <family val="2"/>
      <charset val="1"/>
    </font>
    <font>
      <sz val="10"/>
      <name val="Arial Narrow"/>
      <family val="2"/>
      <charset val="1"/>
    </font>
    <font>
      <u/>
      <sz val="11"/>
      <color theme="10"/>
      <name val="Arial Narrow"/>
      <family val="2"/>
      <charset val="1"/>
    </font>
    <font>
      <sz val="11"/>
      <color theme="0"/>
      <name val="Arial Narrow"/>
      <family val="2"/>
      <charset val="1"/>
    </font>
    <font>
      <sz val="10"/>
      <color rgb="FF0000FF"/>
      <name val="Arial"/>
      <family val="2"/>
    </font>
    <font>
      <b/>
      <sz val="11"/>
      <color rgb="FF0000FF"/>
      <name val="Arial Narrow"/>
      <family val="2"/>
      <charset val="1"/>
    </font>
    <font>
      <sz val="11"/>
      <color rgb="FF0000FF"/>
      <name val="Arial Narrow"/>
      <family val="2"/>
      <charset val="1"/>
    </font>
    <font>
      <sz val="11"/>
      <color rgb="FF0000FF"/>
      <name val="ArialNarrow"/>
      <charset val="1"/>
    </font>
    <font>
      <sz val="11"/>
      <color rgb="FF0000FF"/>
      <name val="ArialNarrow"/>
      <family val="2"/>
      <charset val="1"/>
    </font>
    <font>
      <sz val="10"/>
      <color rgb="FF0000FF"/>
      <name val="Arial Narrow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theme="4" tint="-0.249977111117893"/>
        <bgColor rgb="FF156082"/>
      </patternFill>
    </fill>
    <fill>
      <patternFill patternType="solid">
        <fgColor theme="4" tint="0.59987182226020086"/>
        <bgColor rgb="FFBFBFBF"/>
      </patternFill>
    </fill>
    <fill>
      <patternFill patternType="solid">
        <fgColor theme="9" tint="0.39988402966399123"/>
        <bgColor rgb="FF83CBEB"/>
      </patternFill>
    </fill>
    <fill>
      <patternFill patternType="solid">
        <fgColor rgb="FFD0CECE"/>
        <bgColor rgb="FFD1D1D1"/>
      </patternFill>
    </fill>
    <fill>
      <patternFill patternType="solid">
        <fgColor theme="2" tint="-9.9978637043366805E-2"/>
        <bgColor rgb="FFD0CECE"/>
      </patternFill>
    </fill>
    <fill>
      <patternFill patternType="solid">
        <fgColor rgb="FFFFC000"/>
        <bgColor rgb="FFFF9900"/>
      </patternFill>
    </fill>
    <fill>
      <patternFill patternType="solid">
        <fgColor theme="7" tint="0.79989013336588644"/>
        <bgColor rgb="FFDCEAF7"/>
      </patternFill>
    </fill>
    <fill>
      <patternFill patternType="solid">
        <fgColor theme="1"/>
        <bgColor rgb="FF003300"/>
      </patternFill>
    </fill>
    <fill>
      <patternFill patternType="solid">
        <fgColor rgb="FF0070C0"/>
        <bgColor rgb="FF008080"/>
      </patternFill>
    </fill>
    <fill>
      <patternFill patternType="solid">
        <fgColor theme="5" tint="0.59987182226020086"/>
        <bgColor rgb="FFFFC7CE"/>
      </patternFill>
    </fill>
    <fill>
      <patternFill patternType="solid">
        <fgColor theme="9" tint="0.79989013336588644"/>
        <bgColor rgb="FFDCEAF7"/>
      </patternFill>
    </fill>
    <fill>
      <patternFill patternType="solid">
        <fgColor theme="0"/>
        <bgColor rgb="FFF2F2F2"/>
      </patternFill>
    </fill>
    <fill>
      <patternFill patternType="solid">
        <fgColor theme="3" tint="0.89989928891872917"/>
        <bgColor rgb="FFCAEEFB"/>
      </patternFill>
    </fill>
    <fill>
      <patternFill patternType="solid">
        <fgColor rgb="FFFFFEAB"/>
        <bgColor indexed="64"/>
      </patternFill>
    </fill>
    <fill>
      <patternFill patternType="solid">
        <fgColor rgb="FFFFFEAB"/>
        <bgColor rgb="FFD9F2D0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medium">
        <color auto="1"/>
      </bottom>
      <diagonal/>
    </border>
    <border>
      <left style="hair">
        <color theme="0" tint="-0.34998626667073579"/>
      </left>
      <right style="thin">
        <color auto="1"/>
      </right>
      <top style="hair">
        <color theme="0" tint="-0.34998626667073579"/>
      </top>
      <bottom style="medium">
        <color auto="1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auto="1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medium">
        <color auto="1"/>
      </top>
      <bottom style="thin">
        <color theme="0" tint="-0.249977111117893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medium">
        <color auto="1"/>
      </top>
      <bottom style="thin">
        <color theme="0" tint="-0.249977111117893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auto="1"/>
      </left>
      <right style="medium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auto="1"/>
      </left>
      <right style="medium">
        <color auto="1"/>
      </right>
      <top/>
      <bottom style="thin">
        <color theme="0" tint="-0.24997711111789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theme="0" tint="-0.249977111117893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2">
    <xf numFmtId="0" fontId="0" fillId="0" borderId="0"/>
    <xf numFmtId="9" fontId="1" fillId="0" borderId="0" applyBorder="0" applyAlignment="0" applyProtection="0"/>
    <xf numFmtId="0" fontId="2" fillId="0" borderId="0"/>
    <xf numFmtId="164" fontId="3" fillId="0" borderId="0"/>
    <xf numFmtId="164" fontId="4" fillId="0" borderId="0"/>
    <xf numFmtId="165" fontId="3" fillId="0" borderId="0"/>
    <xf numFmtId="165" fontId="4" fillId="0" borderId="0"/>
    <xf numFmtId="0" fontId="3" fillId="0" borderId="0"/>
    <xf numFmtId="0" fontId="4" fillId="0" borderId="0">
      <alignment vertical="top" wrapText="1"/>
    </xf>
    <xf numFmtId="9" fontId="3" fillId="0" borderId="0"/>
    <xf numFmtId="9" fontId="4" fillId="0" borderId="0"/>
    <xf numFmtId="9" fontId="5" fillId="0" borderId="0"/>
  </cellStyleXfs>
  <cellXfs count="318">
    <xf numFmtId="0" fontId="0" fillId="0" borderId="0" xfId="0"/>
    <xf numFmtId="0" fontId="8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9" fontId="9" fillId="0" borderId="0" xfId="0" applyNumberFormat="1" applyFont="1" applyAlignment="1">
      <alignment horizontal="center"/>
    </xf>
    <xf numFmtId="166" fontId="8" fillId="0" borderId="4" xfId="0" applyNumberFormat="1" applyFont="1" applyBorder="1" applyAlignment="1">
      <alignment horizontal="center"/>
    </xf>
    <xf numFmtId="166" fontId="15" fillId="0" borderId="0" xfId="0" applyNumberFormat="1" applyFont="1" applyAlignment="1">
      <alignment horizontal="right"/>
    </xf>
    <xf numFmtId="166" fontId="15" fillId="0" borderId="4" xfId="0" applyNumberFormat="1" applyFont="1" applyBorder="1" applyAlignment="1">
      <alignment horizontal="center"/>
    </xf>
    <xf numFmtId="166" fontId="8" fillId="0" borderId="5" xfId="0" applyNumberFormat="1" applyFont="1" applyBorder="1" applyAlignment="1">
      <alignment horizontal="center"/>
    </xf>
    <xf numFmtId="166" fontId="15" fillId="0" borderId="5" xfId="0" applyNumberFormat="1" applyFont="1" applyBorder="1" applyAlignment="1">
      <alignment horizontal="center"/>
    </xf>
    <xf numFmtId="0" fontId="15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166" fontId="15" fillId="0" borderId="6" xfId="0" applyNumberFormat="1" applyFont="1" applyBorder="1" applyAlignment="1">
      <alignment horizontal="center"/>
    </xf>
    <xf numFmtId="166" fontId="8" fillId="0" borderId="0" xfId="0" applyNumberFormat="1" applyFont="1" applyAlignment="1">
      <alignment horizontal="right"/>
    </xf>
    <xf numFmtId="167" fontId="8" fillId="0" borderId="4" xfId="0" applyNumberFormat="1" applyFont="1" applyBorder="1" applyAlignment="1">
      <alignment horizontal="right"/>
    </xf>
    <xf numFmtId="167" fontId="15" fillId="0" borderId="0" xfId="0" applyNumberFormat="1" applyFont="1" applyAlignment="1">
      <alignment horizontal="right"/>
    </xf>
    <xf numFmtId="167" fontId="15" fillId="0" borderId="4" xfId="0" applyNumberFormat="1" applyFont="1" applyBorder="1" applyAlignment="1">
      <alignment horizontal="right"/>
    </xf>
    <xf numFmtId="167" fontId="8" fillId="0" borderId="5" xfId="0" applyNumberFormat="1" applyFont="1" applyBorder="1" applyAlignment="1">
      <alignment horizontal="right"/>
    </xf>
    <xf numFmtId="167" fontId="15" fillId="0" borderId="5" xfId="0" applyNumberFormat="1" applyFont="1" applyBorder="1" applyAlignment="1">
      <alignment horizontal="right"/>
    </xf>
    <xf numFmtId="167" fontId="8" fillId="0" borderId="0" xfId="0" applyNumberFormat="1" applyFont="1" applyAlignment="1">
      <alignment horizontal="right"/>
    </xf>
    <xf numFmtId="0" fontId="15" fillId="4" borderId="0" xfId="0" applyFont="1" applyFill="1" applyAlignment="1">
      <alignment horizontal="right"/>
    </xf>
    <xf numFmtId="167" fontId="14" fillId="0" borderId="4" xfId="0" applyNumberFormat="1" applyFont="1" applyBorder="1" applyAlignment="1">
      <alignment horizontal="right"/>
    </xf>
    <xf numFmtId="167" fontId="14" fillId="0" borderId="0" xfId="0" applyNumberFormat="1" applyFont="1" applyAlignment="1">
      <alignment horizontal="right"/>
    </xf>
    <xf numFmtId="9" fontId="8" fillId="0" borderId="0" xfId="0" applyNumberFormat="1" applyFont="1" applyAlignment="1">
      <alignment horizontal="center"/>
    </xf>
    <xf numFmtId="9" fontId="17" fillId="0" borderId="0" xfId="0" applyNumberFormat="1" applyFont="1" applyAlignment="1">
      <alignment horizontal="right"/>
    </xf>
    <xf numFmtId="9" fontId="18" fillId="0" borderId="0" xfId="0" applyNumberFormat="1" applyFont="1" applyAlignment="1">
      <alignment horizontal="center"/>
    </xf>
    <xf numFmtId="168" fontId="17" fillId="0" borderId="4" xfId="0" applyNumberFormat="1" applyFont="1" applyBorder="1" applyAlignment="1">
      <alignment horizontal="right"/>
    </xf>
    <xf numFmtId="9" fontId="17" fillId="0" borderId="4" xfId="0" applyNumberFormat="1" applyFont="1" applyBorder="1" applyAlignment="1">
      <alignment horizontal="right"/>
    </xf>
    <xf numFmtId="0" fontId="19" fillId="0" borderId="0" xfId="0" applyFont="1" applyAlignment="1">
      <alignment horizontal="right"/>
    </xf>
    <xf numFmtId="0" fontId="8" fillId="0" borderId="7" xfId="0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0" fontId="8" fillId="0" borderId="9" xfId="0" applyFont="1" applyBorder="1" applyAlignment="1">
      <alignment horizontal="right"/>
    </xf>
    <xf numFmtId="169" fontId="8" fillId="0" borderId="4" xfId="0" applyNumberFormat="1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167" fontId="8" fillId="0" borderId="0" xfId="0" applyNumberFormat="1" applyFont="1" applyAlignment="1">
      <alignment horizontal="center"/>
    </xf>
    <xf numFmtId="170" fontId="17" fillId="0" borderId="4" xfId="0" applyNumberFormat="1" applyFont="1" applyBorder="1" applyAlignment="1">
      <alignment horizontal="right"/>
    </xf>
    <xf numFmtId="170" fontId="17" fillId="0" borderId="0" xfId="0" applyNumberFormat="1" applyFont="1" applyAlignment="1">
      <alignment horizontal="right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167" fontId="22" fillId="0" borderId="4" xfId="0" applyNumberFormat="1" applyFont="1" applyBorder="1" applyAlignment="1">
      <alignment horizontal="right"/>
    </xf>
    <xf numFmtId="167" fontId="22" fillId="0" borderId="0" xfId="0" applyNumberFormat="1" applyFont="1" applyAlignment="1">
      <alignment horizontal="right"/>
    </xf>
    <xf numFmtId="167" fontId="20" fillId="0" borderId="11" xfId="0" applyNumberFormat="1" applyFont="1" applyBorder="1" applyAlignment="1">
      <alignment horizontal="right"/>
    </xf>
    <xf numFmtId="171" fontId="8" fillId="0" borderId="0" xfId="0" applyNumberFormat="1" applyFont="1" applyAlignment="1">
      <alignment horizontal="center"/>
    </xf>
    <xf numFmtId="172" fontId="8" fillId="0" borderId="0" xfId="0" applyNumberFormat="1" applyFont="1" applyAlignment="1">
      <alignment horizontal="center"/>
    </xf>
    <xf numFmtId="0" fontId="23" fillId="0" borderId="0" xfId="0" applyFont="1"/>
    <xf numFmtId="0" fontId="8" fillId="0" borderId="0" xfId="0" applyFont="1"/>
    <xf numFmtId="173" fontId="8" fillId="0" borderId="1" xfId="0" applyNumberFormat="1" applyFont="1" applyBorder="1" applyAlignment="1">
      <alignment horizontal="center"/>
    </xf>
    <xf numFmtId="0" fontId="15" fillId="0" borderId="0" xfId="0" applyFont="1"/>
    <xf numFmtId="0" fontId="8" fillId="0" borderId="0" xfId="0" applyFont="1" applyAlignment="1">
      <alignment horizontal="left"/>
    </xf>
    <xf numFmtId="173" fontId="8" fillId="0" borderId="0" xfId="0" applyNumberFormat="1" applyFont="1"/>
    <xf numFmtId="0" fontId="15" fillId="0" borderId="0" xfId="0" applyFont="1" applyAlignment="1">
      <alignment horizontal="left"/>
    </xf>
    <xf numFmtId="174" fontId="8" fillId="0" borderId="0" xfId="0" applyNumberFormat="1" applyFont="1"/>
    <xf numFmtId="0" fontId="10" fillId="0" borderId="0" xfId="0" applyFont="1" applyAlignment="1">
      <alignment horizontal="right"/>
    </xf>
    <xf numFmtId="173" fontId="8" fillId="0" borderId="1" xfId="0" applyNumberFormat="1" applyFont="1" applyBorder="1"/>
    <xf numFmtId="0" fontId="15" fillId="0" borderId="12" xfId="0" applyFont="1" applyBorder="1" applyAlignment="1">
      <alignment horizontal="left"/>
    </xf>
    <xf numFmtId="0" fontId="8" fillId="0" borderId="12" xfId="0" applyFont="1" applyBorder="1" applyAlignment="1">
      <alignment horizontal="right"/>
    </xf>
    <xf numFmtId="0" fontId="8" fillId="0" borderId="12" xfId="0" applyFont="1" applyBorder="1"/>
    <xf numFmtId="173" fontId="8" fillId="0" borderId="12" xfId="0" applyNumberFormat="1" applyFont="1" applyBorder="1"/>
    <xf numFmtId="0" fontId="15" fillId="5" borderId="0" xfId="0" applyFont="1" applyFill="1" applyAlignment="1">
      <alignment horizontal="right" vertical="center"/>
    </xf>
    <xf numFmtId="0" fontId="15" fillId="0" borderId="0" xfId="0" applyFont="1" applyAlignment="1">
      <alignment vertical="center"/>
    </xf>
    <xf numFmtId="0" fontId="15" fillId="5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173" fontId="8" fillId="0" borderId="4" xfId="0" applyNumberFormat="1" applyFont="1" applyBorder="1" applyAlignment="1">
      <alignment horizontal="right"/>
    </xf>
    <xf numFmtId="174" fontId="8" fillId="0" borderId="4" xfId="0" applyNumberFormat="1" applyFont="1" applyBorder="1" applyAlignment="1">
      <alignment horizontal="right"/>
    </xf>
    <xf numFmtId="0" fontId="23" fillId="0" borderId="0" xfId="0" applyFont="1" applyAlignment="1">
      <alignment horizontal="right"/>
    </xf>
    <xf numFmtId="171" fontId="8" fillId="0" borderId="4" xfId="0" applyNumberFormat="1" applyFont="1" applyBorder="1" applyAlignment="1">
      <alignment horizontal="right"/>
    </xf>
    <xf numFmtId="172" fontId="8" fillId="0" borderId="1" xfId="0" applyNumberFormat="1" applyFont="1" applyBorder="1"/>
    <xf numFmtId="172" fontId="8" fillId="0" borderId="0" xfId="0" applyNumberFormat="1" applyFont="1"/>
    <xf numFmtId="172" fontId="8" fillId="7" borderId="0" xfId="0" applyNumberFormat="1" applyFont="1" applyFill="1"/>
    <xf numFmtId="166" fontId="8" fillId="0" borderId="0" xfId="0" applyNumberFormat="1" applyFont="1"/>
    <xf numFmtId="172" fontId="8" fillId="0" borderId="11" xfId="0" applyNumberFormat="1" applyFont="1" applyBorder="1"/>
    <xf numFmtId="171" fontId="15" fillId="0" borderId="4" xfId="0" applyNumberFormat="1" applyFont="1" applyBorder="1"/>
    <xf numFmtId="173" fontId="0" fillId="0" borderId="0" xfId="0" applyNumberFormat="1"/>
    <xf numFmtId="0" fontId="0" fillId="0" borderId="0" xfId="0" applyAlignment="1">
      <alignment horizontal="center"/>
    </xf>
    <xf numFmtId="0" fontId="26" fillId="0" borderId="14" xfId="0" applyFont="1" applyBorder="1"/>
    <xf numFmtId="0" fontId="26" fillId="0" borderId="0" xfId="0" applyFont="1"/>
    <xf numFmtId="0" fontId="26" fillId="0" borderId="15" xfId="0" applyFont="1" applyBorder="1"/>
    <xf numFmtId="0" fontId="26" fillId="0" borderId="0" xfId="0" applyFont="1" applyAlignment="1">
      <alignment horizontal="center"/>
    </xf>
    <xf numFmtId="0" fontId="0" fillId="0" borderId="12" xfId="0" applyBorder="1"/>
    <xf numFmtId="173" fontId="0" fillId="0" borderId="12" xfId="0" applyNumberFormat="1" applyBorder="1"/>
    <xf numFmtId="0" fontId="15" fillId="6" borderId="0" xfId="0" applyFont="1" applyFill="1" applyAlignment="1">
      <alignment horizontal="center" wrapText="1"/>
    </xf>
    <xf numFmtId="171" fontId="8" fillId="0" borderId="0" xfId="0" applyNumberFormat="1" applyFont="1"/>
    <xf numFmtId="177" fontId="8" fillId="0" borderId="17" xfId="0" applyNumberFormat="1" applyFont="1" applyBorder="1" applyAlignment="1">
      <alignment horizontal="center"/>
    </xf>
    <xf numFmtId="177" fontId="8" fillId="0" borderId="18" xfId="0" applyNumberFormat="1" applyFont="1" applyBorder="1" applyAlignment="1">
      <alignment horizontal="center"/>
    </xf>
    <xf numFmtId="177" fontId="8" fillId="0" borderId="11" xfId="0" applyNumberFormat="1" applyFont="1" applyBorder="1" applyAlignment="1">
      <alignment horizontal="center"/>
    </xf>
    <xf numFmtId="0" fontId="27" fillId="0" borderId="0" xfId="0" applyFont="1"/>
    <xf numFmtId="0" fontId="8" fillId="0" borderId="0" xfId="0" applyFont="1" applyAlignment="1">
      <alignment horizontal="center" wrapText="1"/>
    </xf>
    <xf numFmtId="0" fontId="8" fillId="6" borderId="0" xfId="0" applyFont="1" applyFill="1" applyAlignment="1">
      <alignment horizontal="center"/>
    </xf>
    <xf numFmtId="0" fontId="15" fillId="0" borderId="0" xfId="0" applyFont="1" applyAlignment="1">
      <alignment horizontal="center" wrapText="1"/>
    </xf>
    <xf numFmtId="171" fontId="8" fillId="0" borderId="0" xfId="0" applyNumberFormat="1" applyFont="1" applyAlignment="1">
      <alignment horizontal="right"/>
    </xf>
    <xf numFmtId="9" fontId="8" fillId="6" borderId="1" xfId="0" applyNumberFormat="1" applyFont="1" applyFill="1" applyBorder="1" applyAlignment="1">
      <alignment horizontal="center"/>
    </xf>
    <xf numFmtId="9" fontId="8" fillId="0" borderId="4" xfId="0" applyNumberFormat="1" applyFont="1" applyBorder="1" applyAlignment="1">
      <alignment horizontal="center"/>
    </xf>
    <xf numFmtId="171" fontId="8" fillId="8" borderId="4" xfId="0" applyNumberFormat="1" applyFont="1" applyFill="1" applyBorder="1" applyAlignment="1">
      <alignment horizontal="right"/>
    </xf>
    <xf numFmtId="9" fontId="8" fillId="0" borderId="12" xfId="0" applyNumberFormat="1" applyFont="1" applyBorder="1"/>
    <xf numFmtId="171" fontId="8" fillId="0" borderId="4" xfId="0" applyNumberFormat="1" applyFont="1" applyBorder="1"/>
    <xf numFmtId="9" fontId="8" fillId="0" borderId="0" xfId="0" applyNumberFormat="1" applyFont="1"/>
    <xf numFmtId="0" fontId="28" fillId="0" borderId="0" xfId="0" applyFont="1" applyAlignment="1">
      <alignment horizontal="right" vertical="top" wrapText="1"/>
    </xf>
    <xf numFmtId="0" fontId="28" fillId="0" borderId="0" xfId="0" applyFont="1" applyAlignment="1">
      <alignment horizontal="center" vertical="top" wrapText="1"/>
    </xf>
    <xf numFmtId="0" fontId="28" fillId="0" borderId="0" xfId="0" applyFont="1" applyAlignment="1">
      <alignment vertical="top" wrapText="1"/>
    </xf>
    <xf numFmtId="0" fontId="29" fillId="0" borderId="0" xfId="0" applyFont="1" applyAlignment="1">
      <alignment horizontal="right" vertical="top" wrapText="1"/>
    </xf>
    <xf numFmtId="0" fontId="31" fillId="0" borderId="1" xfId="0" applyFont="1" applyBorder="1" applyAlignment="1">
      <alignment vertical="top" wrapText="1"/>
    </xf>
    <xf numFmtId="171" fontId="31" fillId="0" borderId="1" xfId="0" applyNumberFormat="1" applyFont="1" applyBorder="1" applyAlignment="1">
      <alignment vertical="top" wrapText="1"/>
    </xf>
    <xf numFmtId="0" fontId="28" fillId="0" borderId="0" xfId="0" applyFont="1" applyAlignment="1">
      <alignment horizontal="right" vertical="center" wrapText="1"/>
    </xf>
    <xf numFmtId="0" fontId="32" fillId="9" borderId="0" xfId="0" applyFont="1" applyFill="1" applyAlignment="1">
      <alignment horizontal="center" vertical="center" wrapText="1"/>
    </xf>
    <xf numFmtId="0" fontId="32" fillId="10" borderId="0" xfId="0" applyFont="1" applyFill="1" applyAlignment="1">
      <alignment horizontal="center" vertical="center" wrapText="1"/>
    </xf>
    <xf numFmtId="0" fontId="28" fillId="0" borderId="22" xfId="0" applyFont="1" applyBorder="1" applyAlignment="1">
      <alignment horizontal="center" vertical="top" wrapText="1"/>
    </xf>
    <xf numFmtId="173" fontId="28" fillId="0" borderId="22" xfId="0" applyNumberFormat="1" applyFont="1" applyBorder="1" applyAlignment="1">
      <alignment vertical="top" wrapText="1"/>
    </xf>
    <xf numFmtId="173" fontId="30" fillId="0" borderId="22" xfId="0" applyNumberFormat="1" applyFont="1" applyBorder="1" applyAlignment="1">
      <alignment vertical="top" wrapText="1"/>
    </xf>
    <xf numFmtId="178" fontId="28" fillId="0" borderId="22" xfId="0" applyNumberFormat="1" applyFont="1" applyBorder="1" applyAlignment="1">
      <alignment vertical="top" wrapText="1"/>
    </xf>
    <xf numFmtId="171" fontId="28" fillId="0" borderId="22" xfId="0" applyNumberFormat="1" applyFont="1" applyBorder="1" applyAlignment="1">
      <alignment vertical="top" wrapText="1"/>
    </xf>
    <xf numFmtId="0" fontId="28" fillId="0" borderId="23" xfId="0" applyFont="1" applyBorder="1" applyAlignment="1">
      <alignment horizontal="center" vertical="top" wrapText="1"/>
    </xf>
    <xf numFmtId="178" fontId="28" fillId="0" borderId="23" xfId="0" applyNumberFormat="1" applyFont="1" applyBorder="1" applyAlignment="1">
      <alignment vertical="top" wrapText="1"/>
    </xf>
    <xf numFmtId="178" fontId="28" fillId="0" borderId="24" xfId="0" applyNumberFormat="1" applyFont="1" applyBorder="1" applyAlignment="1">
      <alignment vertical="top" wrapText="1"/>
    </xf>
    <xf numFmtId="178" fontId="28" fillId="0" borderId="1" xfId="0" applyNumberFormat="1" applyFont="1" applyBorder="1" applyAlignment="1">
      <alignment vertical="top" wrapText="1"/>
    </xf>
    <xf numFmtId="178" fontId="28" fillId="11" borderId="1" xfId="0" applyNumberFormat="1" applyFont="1" applyFill="1" applyBorder="1" applyAlignment="1">
      <alignment vertical="top" wrapText="1"/>
    </xf>
    <xf numFmtId="0" fontId="28" fillId="0" borderId="25" xfId="0" applyFont="1" applyBorder="1" applyAlignment="1">
      <alignment horizontal="center" vertical="top" wrapText="1"/>
    </xf>
    <xf numFmtId="178" fontId="28" fillId="0" borderId="25" xfId="0" applyNumberFormat="1" applyFont="1" applyBorder="1" applyAlignment="1">
      <alignment vertical="top" wrapText="1"/>
    </xf>
    <xf numFmtId="178" fontId="28" fillId="12" borderId="23" xfId="0" applyNumberFormat="1" applyFont="1" applyFill="1" applyBorder="1" applyAlignment="1">
      <alignment vertical="top" wrapText="1"/>
    </xf>
    <xf numFmtId="0" fontId="8" fillId="0" borderId="0" xfId="0" applyFont="1" applyAlignment="1">
      <alignment wrapText="1"/>
    </xf>
    <xf numFmtId="0" fontId="33" fillId="0" borderId="0" xfId="0" applyFont="1" applyAlignment="1">
      <alignment wrapText="1"/>
    </xf>
    <xf numFmtId="0" fontId="8" fillId="0" borderId="26" xfId="0" applyFont="1" applyBorder="1"/>
    <xf numFmtId="0" fontId="33" fillId="0" borderId="0" xfId="0" applyFont="1"/>
    <xf numFmtId="0" fontId="34" fillId="0" borderId="26" xfId="0" applyFont="1" applyBorder="1" applyAlignment="1">
      <alignment vertical="center"/>
    </xf>
    <xf numFmtId="178" fontId="20" fillId="0" borderId="11" xfId="0" applyNumberFormat="1" applyFont="1" applyBorder="1" applyAlignment="1">
      <alignment vertical="center"/>
    </xf>
    <xf numFmtId="0" fontId="34" fillId="0" borderId="0" xfId="0" applyFont="1" applyAlignment="1">
      <alignment vertical="center" wrapText="1"/>
    </xf>
    <xf numFmtId="0" fontId="35" fillId="0" borderId="0" xfId="0" applyFont="1" applyAlignment="1">
      <alignment vertical="center" wrapText="1"/>
    </xf>
    <xf numFmtId="0" fontId="34" fillId="0" borderId="0" xfId="0" applyFont="1" applyAlignment="1">
      <alignment vertical="center"/>
    </xf>
    <xf numFmtId="173" fontId="20" fillId="0" borderId="0" xfId="0" applyNumberFormat="1" applyFont="1" applyAlignment="1">
      <alignment vertical="center"/>
    </xf>
    <xf numFmtId="0" fontId="34" fillId="0" borderId="0" xfId="0" applyFont="1" applyAlignment="1">
      <alignment horizontal="center" wrapText="1"/>
    </xf>
    <xf numFmtId="170" fontId="20" fillId="0" borderId="11" xfId="0" applyNumberFormat="1" applyFont="1" applyBorder="1" applyAlignment="1">
      <alignment horizontal="center" vertical="center"/>
    </xf>
    <xf numFmtId="0" fontId="20" fillId="0" borderId="26" xfId="0" applyFont="1" applyBorder="1" applyAlignment="1">
      <alignment vertical="center" wrapText="1"/>
    </xf>
    <xf numFmtId="0" fontId="20" fillId="0" borderId="0" xfId="0" applyFont="1" applyAlignment="1">
      <alignment vertical="center"/>
    </xf>
    <xf numFmtId="0" fontId="34" fillId="0" borderId="27" xfId="0" applyFont="1" applyBorder="1" applyAlignment="1">
      <alignment horizontal="right" vertical="center"/>
    </xf>
    <xf numFmtId="0" fontId="34" fillId="0" borderId="28" xfId="0" applyFont="1" applyBorder="1" applyAlignment="1">
      <alignment horizontal="right" vertical="center"/>
    </xf>
    <xf numFmtId="0" fontId="20" fillId="0" borderId="0" xfId="0" applyFont="1" applyAlignment="1">
      <alignment vertical="center" wrapText="1"/>
    </xf>
    <xf numFmtId="1" fontId="20" fillId="0" borderId="11" xfId="0" applyNumberFormat="1" applyFont="1" applyBorder="1" applyAlignment="1">
      <alignment horizontal="center" vertical="center"/>
    </xf>
    <xf numFmtId="178" fontId="20" fillId="7" borderId="11" xfId="0" applyNumberFormat="1" applyFont="1" applyFill="1" applyBorder="1" applyAlignment="1">
      <alignment vertical="center"/>
    </xf>
    <xf numFmtId="0" fontId="8" fillId="0" borderId="29" xfId="0" applyFont="1" applyBorder="1" applyAlignment="1">
      <alignment horizontal="right" vertical="center" wrapText="1"/>
    </xf>
    <xf numFmtId="178" fontId="34" fillId="0" borderId="11" xfId="0" applyNumberFormat="1" applyFont="1" applyBorder="1" applyAlignment="1">
      <alignment vertical="center"/>
    </xf>
    <xf numFmtId="0" fontId="8" fillId="0" borderId="1" xfId="0" applyFont="1" applyBorder="1" applyAlignment="1">
      <alignment horizontal="right" vertical="center" wrapText="1"/>
    </xf>
    <xf numFmtId="0" fontId="8" fillId="0" borderId="30" xfId="0" applyFont="1" applyBorder="1" applyAlignment="1">
      <alignment horizontal="right" vertical="center" wrapText="1"/>
    </xf>
    <xf numFmtId="178" fontId="20" fillId="0" borderId="0" xfId="0" applyNumberFormat="1" applyFont="1" applyAlignment="1">
      <alignment vertical="center" wrapText="1"/>
    </xf>
    <xf numFmtId="179" fontId="34" fillId="0" borderId="0" xfId="0" applyNumberFormat="1" applyFont="1" applyAlignment="1">
      <alignment vertical="center" wrapText="1"/>
    </xf>
    <xf numFmtId="168" fontId="20" fillId="0" borderId="11" xfId="0" applyNumberFormat="1" applyFont="1" applyBorder="1" applyAlignment="1">
      <alignment horizontal="center" vertical="center"/>
    </xf>
    <xf numFmtId="178" fontId="8" fillId="0" borderId="0" xfId="0" applyNumberFormat="1" applyFont="1" applyAlignment="1">
      <alignment wrapText="1"/>
    </xf>
    <xf numFmtId="0" fontId="34" fillId="0" borderId="16" xfId="0" applyFont="1" applyBorder="1" applyAlignment="1">
      <alignment horizontal="right" vertical="center"/>
    </xf>
    <xf numFmtId="0" fontId="34" fillId="0" borderId="31" xfId="0" applyFont="1" applyBorder="1" applyAlignment="1">
      <alignment horizontal="right" vertical="center"/>
    </xf>
    <xf numFmtId="180" fontId="36" fillId="0" borderId="11" xfId="0" applyNumberFormat="1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wrapText="1"/>
    </xf>
    <xf numFmtId="0" fontId="23" fillId="0" borderId="16" xfId="0" applyFont="1" applyBorder="1" applyAlignment="1">
      <alignment horizontal="center" wrapText="1"/>
    </xf>
    <xf numFmtId="0" fontId="15" fillId="12" borderId="16" xfId="0" applyFont="1" applyFill="1" applyBorder="1" applyAlignment="1">
      <alignment horizontal="center" wrapText="1"/>
    </xf>
    <xf numFmtId="0" fontId="37" fillId="0" borderId="16" xfId="0" applyFont="1" applyBorder="1" applyAlignment="1">
      <alignment horizontal="center" wrapText="1"/>
    </xf>
    <xf numFmtId="0" fontId="38" fillId="0" borderId="0" xfId="0" applyFont="1"/>
    <xf numFmtId="0" fontId="8" fillId="0" borderId="32" xfId="0" applyFont="1" applyBorder="1" applyAlignment="1">
      <alignment horizontal="center" vertical="center" wrapText="1"/>
    </xf>
    <xf numFmtId="167" fontId="8" fillId="0" borderId="32" xfId="0" applyNumberFormat="1" applyFont="1" applyBorder="1" applyAlignment="1">
      <alignment wrapText="1"/>
    </xf>
    <xf numFmtId="181" fontId="8" fillId="0" borderId="33" xfId="0" applyNumberFormat="1" applyFont="1" applyBorder="1" applyAlignment="1">
      <alignment wrapText="1"/>
    </xf>
    <xf numFmtId="181" fontId="8" fillId="0" borderId="34" xfId="0" applyNumberFormat="1" applyFont="1" applyBorder="1" applyAlignment="1">
      <alignment wrapText="1"/>
    </xf>
    <xf numFmtId="181" fontId="8" fillId="0" borderId="35" xfId="0" applyNumberFormat="1" applyFont="1" applyBorder="1" applyAlignment="1">
      <alignment wrapText="1"/>
    </xf>
    <xf numFmtId="181" fontId="8" fillId="0" borderId="32" xfId="0" applyNumberFormat="1" applyFont="1" applyBorder="1" applyAlignment="1">
      <alignment wrapText="1"/>
    </xf>
    <xf numFmtId="167" fontId="8" fillId="12" borderId="32" xfId="0" applyNumberFormat="1" applyFont="1" applyFill="1" applyBorder="1"/>
    <xf numFmtId="167" fontId="8" fillId="0" borderId="11" xfId="0" applyNumberFormat="1" applyFont="1" applyBorder="1"/>
    <xf numFmtId="167" fontId="8" fillId="0" borderId="36" xfId="0" applyNumberFormat="1" applyFont="1" applyBorder="1"/>
    <xf numFmtId="182" fontId="8" fillId="0" borderId="32" xfId="0" applyNumberFormat="1" applyFont="1" applyBorder="1" applyAlignment="1">
      <alignment horizontal="center" vertical="center" wrapText="1"/>
    </xf>
    <xf numFmtId="167" fontId="39" fillId="0" borderId="0" xfId="0" applyNumberFormat="1" applyFont="1"/>
    <xf numFmtId="0" fontId="8" fillId="0" borderId="37" xfId="0" applyFont="1" applyBorder="1" applyAlignment="1">
      <alignment horizontal="center" vertical="center" wrapText="1"/>
    </xf>
    <xf numFmtId="181" fontId="8" fillId="0" borderId="37" xfId="0" applyNumberFormat="1" applyFont="1" applyBorder="1" applyAlignment="1">
      <alignment wrapText="1"/>
    </xf>
    <xf numFmtId="167" fontId="8" fillId="0" borderId="38" xfId="0" applyNumberFormat="1" applyFont="1" applyBorder="1" applyAlignment="1">
      <alignment wrapText="1"/>
    </xf>
    <xf numFmtId="167" fontId="8" fillId="0" borderId="39" xfId="0" applyNumberFormat="1" applyFont="1" applyBorder="1" applyAlignment="1">
      <alignment wrapText="1"/>
    </xf>
    <xf numFmtId="167" fontId="8" fillId="0" borderId="40" xfId="0" applyNumberFormat="1" applyFont="1" applyBorder="1" applyAlignment="1">
      <alignment wrapText="1"/>
    </xf>
    <xf numFmtId="167" fontId="8" fillId="0" borderId="37" xfId="0" applyNumberFormat="1" applyFont="1" applyBorder="1" applyAlignment="1">
      <alignment wrapText="1"/>
    </xf>
    <xf numFmtId="167" fontId="8" fillId="12" borderId="37" xfId="0" applyNumberFormat="1" applyFont="1" applyFill="1" applyBorder="1"/>
    <xf numFmtId="167" fontId="8" fillId="0" borderId="41" xfId="0" applyNumberFormat="1" applyFont="1" applyBorder="1"/>
    <xf numFmtId="167" fontId="8" fillId="0" borderId="42" xfId="0" applyNumberFormat="1" applyFont="1" applyBorder="1"/>
    <xf numFmtId="172" fontId="8" fillId="0" borderId="37" xfId="0" applyNumberFormat="1" applyFont="1" applyBorder="1" applyAlignment="1">
      <alignment horizontal="center" vertical="center" wrapText="1"/>
    </xf>
    <xf numFmtId="0" fontId="37" fillId="12" borderId="10" xfId="0" applyFont="1" applyFill="1" applyBorder="1" applyAlignment="1">
      <alignment horizontal="right" wrapText="1"/>
    </xf>
    <xf numFmtId="167" fontId="15" fillId="12" borderId="11" xfId="0" applyNumberFormat="1" applyFont="1" applyFill="1" applyBorder="1"/>
    <xf numFmtId="167" fontId="37" fillId="0" borderId="11" xfId="0" applyNumberFormat="1" applyFont="1" applyBorder="1" applyAlignment="1">
      <alignment wrapText="1"/>
    </xf>
    <xf numFmtId="167" fontId="15" fillId="0" borderId="11" xfId="0" applyNumberFormat="1" applyFont="1" applyBorder="1" applyAlignment="1">
      <alignment horizontal="center"/>
    </xf>
    <xf numFmtId="167" fontId="15" fillId="0" borderId="0" xfId="0" applyNumberFormat="1" applyFont="1"/>
    <xf numFmtId="167" fontId="40" fillId="0" borderId="0" xfId="0" applyNumberFormat="1" applyFont="1"/>
    <xf numFmtId="167" fontId="41" fillId="0" borderId="0" xfId="0" applyNumberFormat="1" applyFont="1" applyAlignment="1">
      <alignment horizontal="center" vertical="center" wrapText="1"/>
    </xf>
    <xf numFmtId="173" fontId="15" fillId="0" borderId="0" xfId="0" applyNumberFormat="1" applyFont="1"/>
    <xf numFmtId="179" fontId="42" fillId="0" borderId="0" xfId="0" applyNumberFormat="1" applyFont="1"/>
    <xf numFmtId="179" fontId="41" fillId="0" borderId="0" xfId="0" applyNumberFormat="1" applyFont="1" applyAlignment="1">
      <alignment horizontal="center" vertical="center" wrapText="1"/>
    </xf>
    <xf numFmtId="0" fontId="40" fillId="0" borderId="0" xfId="0" applyFont="1" applyAlignment="1">
      <alignment horizontal="right"/>
    </xf>
    <xf numFmtId="0" fontId="40" fillId="0" borderId="1" xfId="0" applyFont="1" applyBorder="1" applyAlignment="1">
      <alignment horizontal="center"/>
    </xf>
    <xf numFmtId="167" fontId="8" fillId="0" borderId="1" xfId="0" applyNumberFormat="1" applyFont="1" applyBorder="1"/>
    <xf numFmtId="183" fontId="8" fillId="0" borderId="40" xfId="0" applyNumberFormat="1" applyFont="1" applyBorder="1" applyAlignment="1">
      <alignment horizontal="center" vertical="center" wrapText="1"/>
    </xf>
    <xf numFmtId="167" fontId="33" fillId="0" borderId="0" xfId="0" applyNumberFormat="1" applyFont="1" applyAlignment="1">
      <alignment wrapText="1"/>
    </xf>
    <xf numFmtId="167" fontId="8" fillId="0" borderId="0" xfId="0" applyNumberFormat="1" applyFont="1"/>
    <xf numFmtId="1" fontId="40" fillId="0" borderId="0" xfId="0" applyNumberFormat="1" applyFont="1" applyAlignment="1">
      <alignment horizontal="center"/>
    </xf>
    <xf numFmtId="184" fontId="40" fillId="0" borderId="0" xfId="0" applyNumberFormat="1" applyFont="1" applyAlignment="1">
      <alignment horizontal="center"/>
    </xf>
    <xf numFmtId="177" fontId="8" fillId="0" borderId="0" xfId="0" applyNumberFormat="1" applyFont="1"/>
    <xf numFmtId="167" fontId="15" fillId="0" borderId="11" xfId="0" applyNumberFormat="1" applyFont="1" applyBorder="1"/>
    <xf numFmtId="167" fontId="15" fillId="7" borderId="11" xfId="0" applyNumberFormat="1" applyFont="1" applyFill="1" applyBorder="1"/>
    <xf numFmtId="0" fontId="8" fillId="6" borderId="32" xfId="0" applyFont="1" applyFill="1" applyBorder="1" applyAlignment="1">
      <alignment horizontal="center" vertical="center" wrapText="1"/>
    </xf>
    <xf numFmtId="167" fontId="39" fillId="6" borderId="32" xfId="0" applyNumberFormat="1" applyFont="1" applyFill="1" applyBorder="1" applyAlignment="1">
      <alignment wrapText="1"/>
    </xf>
    <xf numFmtId="167" fontId="39" fillId="0" borderId="37" xfId="0" applyNumberFormat="1" applyFont="1" applyBorder="1" applyAlignment="1">
      <alignment wrapText="1"/>
    </xf>
    <xf numFmtId="185" fontId="15" fillId="0" borderId="0" xfId="0" applyNumberFormat="1" applyFont="1"/>
    <xf numFmtId="0" fontId="8" fillId="13" borderId="0" xfId="0" applyFont="1" applyFill="1"/>
    <xf numFmtId="0" fontId="44" fillId="0" borderId="11" xfId="0" applyFont="1" applyBorder="1" applyAlignment="1">
      <alignment horizontal="center"/>
    </xf>
    <xf numFmtId="0" fontId="8" fillId="13" borderId="44" xfId="0" applyFont="1" applyFill="1" applyBorder="1" applyAlignment="1">
      <alignment vertical="center"/>
    </xf>
    <xf numFmtId="10" fontId="40" fillId="0" borderId="17" xfId="0" applyNumberFormat="1" applyFont="1" applyBorder="1" applyAlignment="1">
      <alignment horizontal="center" vertical="center"/>
    </xf>
    <xf numFmtId="0" fontId="8" fillId="13" borderId="45" xfId="0" applyFont="1" applyFill="1" applyBorder="1" applyAlignment="1">
      <alignment vertical="center"/>
    </xf>
    <xf numFmtId="2" fontId="43" fillId="0" borderId="45" xfId="0" applyNumberFormat="1" applyFont="1" applyBorder="1" applyAlignment="1">
      <alignment horizontal="center" vertical="center"/>
    </xf>
    <xf numFmtId="0" fontId="8" fillId="13" borderId="45" xfId="0" applyFont="1" applyFill="1" applyBorder="1" applyAlignment="1">
      <alignment horizontal="center" vertical="center" wrapText="1"/>
    </xf>
    <xf numFmtId="0" fontId="8" fillId="13" borderId="46" xfId="0" applyFont="1" applyFill="1" applyBorder="1" applyAlignment="1">
      <alignment vertical="center"/>
    </xf>
    <xf numFmtId="177" fontId="43" fillId="0" borderId="45" xfId="0" applyNumberFormat="1" applyFont="1" applyBorder="1" applyAlignment="1">
      <alignment horizontal="center" vertical="center"/>
    </xf>
    <xf numFmtId="186" fontId="8" fillId="0" borderId="0" xfId="0" applyNumberFormat="1" applyFont="1"/>
    <xf numFmtId="0" fontId="8" fillId="13" borderId="47" xfId="0" applyFont="1" applyFill="1" applyBorder="1" applyAlignment="1">
      <alignment vertical="center"/>
    </xf>
    <xf numFmtId="177" fontId="40" fillId="0" borderId="47" xfId="0" applyNumberFormat="1" applyFont="1" applyBorder="1" applyAlignment="1">
      <alignment horizontal="center" vertical="center"/>
    </xf>
    <xf numFmtId="177" fontId="40" fillId="0" borderId="45" xfId="0" applyNumberFormat="1" applyFont="1" applyBorder="1" applyAlignment="1">
      <alignment horizontal="center" vertical="center"/>
    </xf>
    <xf numFmtId="0" fontId="8" fillId="13" borderId="49" xfId="0" applyFont="1" applyFill="1" applyBorder="1" applyAlignment="1">
      <alignment vertical="center"/>
    </xf>
    <xf numFmtId="177" fontId="40" fillId="0" borderId="49" xfId="0" applyNumberFormat="1" applyFont="1" applyBorder="1" applyAlignment="1">
      <alignment horizontal="center" vertical="center"/>
    </xf>
    <xf numFmtId="9" fontId="40" fillId="13" borderId="0" xfId="0" applyNumberFormat="1" applyFont="1" applyFill="1" applyAlignment="1">
      <alignment horizontal="center"/>
    </xf>
    <xf numFmtId="0" fontId="8" fillId="13" borderId="1" xfId="0" applyFont="1" applyFill="1" applyBorder="1"/>
    <xf numFmtId="10" fontId="40" fillId="13" borderId="1" xfId="0" applyNumberFormat="1" applyFont="1" applyFill="1" applyBorder="1" applyAlignment="1">
      <alignment horizontal="center"/>
    </xf>
    <xf numFmtId="10" fontId="40" fillId="0" borderId="1" xfId="0" applyNumberFormat="1" applyFont="1" applyBorder="1" applyAlignment="1">
      <alignment horizontal="center"/>
    </xf>
    <xf numFmtId="10" fontId="40" fillId="13" borderId="0" xfId="0" applyNumberFormat="1" applyFont="1" applyFill="1" applyAlignment="1">
      <alignment horizontal="center"/>
    </xf>
    <xf numFmtId="0" fontId="15" fillId="13" borderId="44" xfId="0" applyFont="1" applyFill="1" applyBorder="1"/>
    <xf numFmtId="10" fontId="37" fillId="14" borderId="44" xfId="0" applyNumberFormat="1" applyFont="1" applyFill="1" applyBorder="1" applyAlignment="1">
      <alignment horizontal="center"/>
    </xf>
    <xf numFmtId="0" fontId="8" fillId="13" borderId="44" xfId="0" applyFont="1" applyFill="1" applyBorder="1"/>
    <xf numFmtId="0" fontId="8" fillId="0" borderId="47" xfId="0" applyFont="1" applyBorder="1"/>
    <xf numFmtId="10" fontId="40" fillId="0" borderId="47" xfId="0" applyNumberFormat="1" applyFont="1" applyBorder="1" applyAlignment="1">
      <alignment horizontal="center"/>
    </xf>
    <xf numFmtId="17" fontId="8" fillId="0" borderId="47" xfId="0" applyNumberFormat="1" applyFont="1" applyBorder="1" applyAlignment="1">
      <alignment horizontal="center"/>
    </xf>
    <xf numFmtId="0" fontId="8" fillId="0" borderId="49" xfId="0" applyFont="1" applyBorder="1"/>
    <xf numFmtId="10" fontId="40" fillId="0" borderId="49" xfId="0" applyNumberFormat="1" applyFont="1" applyBorder="1" applyAlignment="1">
      <alignment horizontal="center"/>
    </xf>
    <xf numFmtId="0" fontId="15" fillId="0" borderId="49" xfId="0" applyFont="1" applyBorder="1"/>
    <xf numFmtId="187" fontId="8" fillId="13" borderId="0" xfId="0" applyNumberFormat="1" applyFont="1" applyFill="1"/>
    <xf numFmtId="177" fontId="45" fillId="13" borderId="0" xfId="0" applyNumberFormat="1" applyFont="1" applyFill="1"/>
    <xf numFmtId="182" fontId="8" fillId="0" borderId="0" xfId="0" applyNumberFormat="1" applyFont="1"/>
    <xf numFmtId="0" fontId="15" fillId="13" borderId="50" xfId="0" applyFont="1" applyFill="1" applyBorder="1"/>
    <xf numFmtId="0" fontId="8" fillId="13" borderId="47" xfId="0" applyFont="1" applyFill="1" applyBorder="1"/>
    <xf numFmtId="0" fontId="8" fillId="13" borderId="47" xfId="0" applyFont="1" applyFill="1" applyBorder="1" applyAlignment="1">
      <alignment horizontal="center"/>
    </xf>
    <xf numFmtId="10" fontId="40" fillId="13" borderId="47" xfId="0" applyNumberFormat="1" applyFont="1" applyFill="1" applyBorder="1" applyAlignment="1">
      <alignment horizontal="center"/>
    </xf>
    <xf numFmtId="0" fontId="15" fillId="13" borderId="49" xfId="0" applyFont="1" applyFill="1" applyBorder="1"/>
    <xf numFmtId="10" fontId="15" fillId="13" borderId="49" xfId="0" applyNumberFormat="1" applyFont="1" applyFill="1" applyBorder="1" applyAlignment="1">
      <alignment horizontal="center"/>
    </xf>
    <xf numFmtId="0" fontId="15" fillId="13" borderId="31" xfId="0" applyFont="1" applyFill="1" applyBorder="1"/>
    <xf numFmtId="0" fontId="8" fillId="13" borderId="0" xfId="0" applyFont="1" applyFill="1" applyAlignment="1">
      <alignment horizontal="center"/>
    </xf>
    <xf numFmtId="0" fontId="15" fillId="7" borderId="27" xfId="0" applyFont="1" applyFill="1" applyBorder="1"/>
    <xf numFmtId="9" fontId="15" fillId="7" borderId="11" xfId="0" applyNumberFormat="1" applyFont="1" applyFill="1" applyBorder="1" applyAlignment="1">
      <alignment horizontal="center"/>
    </xf>
    <xf numFmtId="0" fontId="8" fillId="13" borderId="51" xfId="0" applyFont="1" applyFill="1" applyBorder="1"/>
    <xf numFmtId="0" fontId="8" fillId="7" borderId="11" xfId="0" applyFont="1" applyFill="1" applyBorder="1"/>
    <xf numFmtId="0" fontId="8" fillId="13" borderId="11" xfId="0" applyFont="1" applyFill="1" applyBorder="1"/>
    <xf numFmtId="10" fontId="8" fillId="0" borderId="49" xfId="0" applyNumberFormat="1" applyFont="1" applyBorder="1" applyAlignment="1">
      <alignment horizontal="center"/>
    </xf>
    <xf numFmtId="0" fontId="8" fillId="13" borderId="49" xfId="0" applyFont="1" applyFill="1" applyBorder="1"/>
    <xf numFmtId="10" fontId="8" fillId="13" borderId="0" xfId="0" applyNumberFormat="1" applyFont="1" applyFill="1" applyAlignment="1">
      <alignment horizontal="center"/>
    </xf>
    <xf numFmtId="17" fontId="40" fillId="13" borderId="0" xfId="0" applyNumberFormat="1" applyFont="1" applyFill="1" applyAlignment="1">
      <alignment horizontal="center"/>
    </xf>
    <xf numFmtId="172" fontId="40" fillId="13" borderId="0" xfId="0" applyNumberFormat="1" applyFont="1" applyFill="1" applyAlignment="1">
      <alignment horizontal="center"/>
    </xf>
    <xf numFmtId="188" fontId="40" fillId="13" borderId="0" xfId="0" applyNumberFormat="1" applyFont="1" applyFill="1" applyAlignment="1">
      <alignment horizontal="center"/>
    </xf>
    <xf numFmtId="17" fontId="8" fillId="13" borderId="0" xfId="0" applyNumberFormat="1" applyFont="1" applyFill="1" applyAlignment="1">
      <alignment horizontal="center"/>
    </xf>
    <xf numFmtId="10" fontId="40" fillId="0" borderId="51" xfId="0" applyNumberFormat="1" applyFont="1" applyBorder="1" applyAlignment="1">
      <alignment horizontal="center"/>
    </xf>
    <xf numFmtId="0" fontId="46" fillId="13" borderId="0" xfId="0" applyFont="1" applyFill="1"/>
    <xf numFmtId="0" fontId="47" fillId="13" borderId="0" xfId="0" applyFont="1" applyFill="1"/>
    <xf numFmtId="0" fontId="47" fillId="13" borderId="0" xfId="0" applyFont="1" applyFill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13" borderId="48" xfId="0" applyFont="1" applyFill="1" applyBorder="1" applyAlignment="1">
      <alignment horizontal="center" vertical="center" wrapText="1"/>
    </xf>
    <xf numFmtId="0" fontId="8" fillId="13" borderId="49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right"/>
    </xf>
    <xf numFmtId="177" fontId="15" fillId="7" borderId="11" xfId="0" applyNumberFormat="1" applyFont="1" applyFill="1" applyBorder="1" applyAlignment="1">
      <alignment horizontal="center"/>
    </xf>
    <xf numFmtId="167" fontId="39" fillId="6" borderId="33" xfId="0" applyNumberFormat="1" applyFont="1" applyFill="1" applyBorder="1" applyAlignment="1">
      <alignment wrapText="1"/>
    </xf>
    <xf numFmtId="167" fontId="39" fillId="0" borderId="38" xfId="0" applyNumberFormat="1" applyFont="1" applyBorder="1" applyAlignment="1">
      <alignment wrapText="1"/>
    </xf>
    <xf numFmtId="167" fontId="39" fillId="6" borderId="34" xfId="0" applyNumberFormat="1" applyFont="1" applyFill="1" applyBorder="1" applyAlignment="1">
      <alignment wrapText="1"/>
    </xf>
    <xf numFmtId="167" fontId="39" fillId="0" borderId="39" xfId="0" applyNumberFormat="1" applyFont="1" applyBorder="1" applyAlignment="1">
      <alignment wrapText="1"/>
    </xf>
    <xf numFmtId="167" fontId="39" fillId="0" borderId="43" xfId="0" applyNumberFormat="1" applyFont="1" applyBorder="1" applyAlignment="1">
      <alignment wrapText="1"/>
    </xf>
    <xf numFmtId="9" fontId="50" fillId="15" borderId="1" xfId="0" applyNumberFormat="1" applyFont="1" applyFill="1" applyBorder="1" applyAlignment="1">
      <alignment horizontal="center"/>
    </xf>
    <xf numFmtId="166" fontId="49" fillId="15" borderId="6" xfId="0" applyNumberFormat="1" applyFont="1" applyFill="1" applyBorder="1" applyAlignment="1" applyProtection="1">
      <alignment horizontal="center"/>
      <protection locked="0"/>
    </xf>
    <xf numFmtId="173" fontId="50" fillId="16" borderId="4" xfId="0" applyNumberFormat="1" applyFont="1" applyFill="1" applyBorder="1" applyAlignment="1" applyProtection="1">
      <alignment horizontal="right"/>
      <protection locked="0"/>
    </xf>
    <xf numFmtId="166" fontId="50" fillId="16" borderId="4" xfId="0" applyNumberFormat="1" applyFont="1" applyFill="1" applyBorder="1" applyAlignment="1" applyProtection="1">
      <alignment horizontal="center"/>
      <protection locked="0"/>
    </xf>
    <xf numFmtId="175" fontId="50" fillId="16" borderId="4" xfId="0" applyNumberFormat="1" applyFont="1" applyFill="1" applyBorder="1" applyAlignment="1" applyProtection="1">
      <alignment horizontal="center"/>
      <protection locked="0"/>
    </xf>
    <xf numFmtId="176" fontId="50" fillId="16" borderId="4" xfId="0" applyNumberFormat="1" applyFont="1" applyFill="1" applyBorder="1" applyAlignment="1" applyProtection="1">
      <alignment horizontal="center"/>
      <protection locked="0"/>
    </xf>
    <xf numFmtId="171" fontId="50" fillId="16" borderId="4" xfId="0" applyNumberFormat="1" applyFont="1" applyFill="1" applyBorder="1" applyAlignment="1" applyProtection="1">
      <alignment horizontal="right"/>
      <protection locked="0"/>
    </xf>
    <xf numFmtId="173" fontId="51" fillId="15" borderId="14" xfId="0" applyNumberFormat="1" applyFont="1" applyFill="1" applyBorder="1"/>
    <xf numFmtId="173" fontId="51" fillId="15" borderId="0" xfId="0" applyNumberFormat="1" applyFont="1" applyFill="1"/>
    <xf numFmtId="173" fontId="51" fillId="15" borderId="15" xfId="0" applyNumberFormat="1" applyFont="1" applyFill="1" applyBorder="1"/>
    <xf numFmtId="173" fontId="52" fillId="15" borderId="0" xfId="0" applyNumberFormat="1" applyFont="1" applyFill="1"/>
    <xf numFmtId="173" fontId="52" fillId="15" borderId="16" xfId="0" applyNumberFormat="1" applyFont="1" applyFill="1" applyBorder="1"/>
    <xf numFmtId="171" fontId="50" fillId="15" borderId="11" xfId="0" applyNumberFormat="1" applyFont="1" applyFill="1" applyBorder="1"/>
    <xf numFmtId="171" fontId="50" fillId="16" borderId="4" xfId="0" applyNumberFormat="1" applyFont="1" applyFill="1" applyBorder="1" applyAlignment="1">
      <alignment horizontal="right"/>
    </xf>
    <xf numFmtId="0" fontId="53" fillId="16" borderId="1" xfId="0" applyFont="1" applyFill="1" applyBorder="1" applyAlignment="1">
      <alignment vertical="top" wrapText="1"/>
    </xf>
    <xf numFmtId="171" fontId="53" fillId="16" borderId="1" xfId="0" applyNumberFormat="1" applyFont="1" applyFill="1" applyBorder="1" applyAlignment="1">
      <alignment vertical="top" wrapText="1"/>
    </xf>
    <xf numFmtId="0" fontId="53" fillId="16" borderId="19" xfId="0" applyFont="1" applyFill="1" applyBorder="1" applyAlignment="1">
      <alignment vertical="top" wrapText="1"/>
    </xf>
    <xf numFmtId="177" fontId="53" fillId="16" borderId="19" xfId="0" applyNumberFormat="1" applyFont="1" applyFill="1" applyBorder="1" applyAlignment="1">
      <alignment vertical="top" wrapText="1"/>
    </xf>
    <xf numFmtId="0" fontId="53" fillId="15" borderId="20" xfId="0" applyFont="1" applyFill="1" applyBorder="1" applyAlignment="1">
      <alignment vertical="top" wrapText="1"/>
    </xf>
    <xf numFmtId="10" fontId="53" fillId="15" borderId="21" xfId="0" applyNumberFormat="1" applyFont="1" applyFill="1" applyBorder="1" applyAlignment="1">
      <alignment vertical="top" wrapText="1"/>
    </xf>
    <xf numFmtId="0" fontId="53" fillId="15" borderId="1" xfId="0" applyFont="1" applyFill="1" applyBorder="1" applyAlignment="1">
      <alignment vertical="top" wrapText="1"/>
    </xf>
    <xf numFmtId="172" fontId="53" fillId="15" borderId="1" xfId="0" applyNumberFormat="1" applyFont="1" applyFill="1" applyBorder="1" applyAlignment="1">
      <alignment vertical="top" wrapText="1"/>
    </xf>
    <xf numFmtId="172" fontId="53" fillId="16" borderId="1" xfId="0" applyNumberFormat="1" applyFont="1" applyFill="1" applyBorder="1" applyAlignment="1" applyProtection="1">
      <alignment vertical="top" wrapText="1"/>
      <protection locked="0"/>
    </xf>
    <xf numFmtId="1" fontId="43" fillId="15" borderId="0" xfId="0" applyNumberFormat="1" applyFont="1" applyFill="1"/>
    <xf numFmtId="9" fontId="48" fillId="15" borderId="0" xfId="1" applyFont="1" applyFill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23" fillId="0" borderId="13" xfId="0" applyFont="1" applyBorder="1" applyAlignment="1">
      <alignment horizontal="right" vertical="center" textRotation="90" wrapText="1"/>
    </xf>
    <xf numFmtId="166" fontId="8" fillId="0" borderId="4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6" fontId="8" fillId="0" borderId="1" xfId="0" applyNumberFormat="1" applyFont="1" applyBorder="1" applyAlignment="1">
      <alignment horizontal="center" vertical="center"/>
    </xf>
    <xf numFmtId="0" fontId="30" fillId="0" borderId="14" xfId="0" applyFont="1" applyBorder="1" applyAlignment="1">
      <alignment horizontal="center" wrapText="1"/>
    </xf>
    <xf numFmtId="0" fontId="2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0" fillId="0" borderId="11" xfId="0" applyFont="1" applyBorder="1" applyAlignment="1">
      <alignment horizontal="right" vertical="center"/>
    </xf>
    <xf numFmtId="0" fontId="11" fillId="0" borderId="0" xfId="0" applyFont="1" applyAlignment="1">
      <alignment horizontal="center" wrapText="1"/>
    </xf>
    <xf numFmtId="0" fontId="34" fillId="0" borderId="11" xfId="0" applyFont="1" applyBorder="1" applyAlignment="1">
      <alignment horizontal="right" vertical="center"/>
    </xf>
    <xf numFmtId="0" fontId="20" fillId="7" borderId="11" xfId="0" applyFont="1" applyFill="1" applyBorder="1" applyAlignment="1">
      <alignment horizontal="right" vertical="center"/>
    </xf>
    <xf numFmtId="0" fontId="11" fillId="13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37" fillId="0" borderId="11" xfId="0" applyFont="1" applyBorder="1" applyAlignment="1">
      <alignment horizontal="right"/>
    </xf>
  </cellXfs>
  <cellStyles count="12">
    <cellStyle name="Hipervínculo 2" xfId="2" xr:uid="{00000000-0005-0000-0000-000006000000}"/>
    <cellStyle name="Millares 2" xfId="3" xr:uid="{00000000-0005-0000-0000-000007000000}"/>
    <cellStyle name="Millares 4" xfId="4" xr:uid="{00000000-0005-0000-0000-000008000000}"/>
    <cellStyle name="Moneda 2" xfId="5" xr:uid="{00000000-0005-0000-0000-000009000000}"/>
    <cellStyle name="Moneda 3" xfId="6" xr:uid="{00000000-0005-0000-0000-00000A000000}"/>
    <cellStyle name="Normal" xfId="0" builtinId="0"/>
    <cellStyle name="Normal 2" xfId="7" xr:uid="{00000000-0005-0000-0000-00000B000000}"/>
    <cellStyle name="Normal 4" xfId="8" xr:uid="{00000000-0005-0000-0000-00000C000000}"/>
    <cellStyle name="Porcentaje" xfId="1" builtinId="5"/>
    <cellStyle name="Porcentaje 2" xfId="9" xr:uid="{00000000-0005-0000-0000-00000D000000}"/>
    <cellStyle name="Porcentaje 2 2" xfId="10" xr:uid="{00000000-0005-0000-0000-00000E000000}"/>
    <cellStyle name="Porcentual 2" xfId="11" xr:uid="{00000000-0005-0000-0000-00000F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D9D9D9"/>
      <rgbColor rgb="FFFF00FF"/>
      <rgbColor rgb="FF00FFFF"/>
      <rgbColor rgb="FF9C0006"/>
      <rgbColor rgb="FF008000"/>
      <rgbColor rgb="FF000080"/>
      <rgbColor rgb="FF7F7F7F"/>
      <rgbColor rgb="FF800080"/>
      <rgbColor rgb="FF156082"/>
      <rgbColor rgb="FFBFBFBF"/>
      <rgbColor rgb="FF808080"/>
      <rgbColor rgb="FFA6A6A6"/>
      <rgbColor rgb="FFD23416"/>
      <rgbColor rgb="FFF2F2F2"/>
      <rgbColor rgb="FFCAEEFB"/>
      <rgbColor rgb="FF660066"/>
      <rgbColor rgb="FFD0CECE"/>
      <rgbColor rgb="FF0070C0"/>
      <rgbColor rgb="FFD1D1D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B0F0"/>
      <rgbColor rgb="FFDCEAF7"/>
      <rgbColor rgb="FFD9F2D0"/>
      <rgbColor rgb="FFFFFF99"/>
      <rgbColor rgb="FF83CBEB"/>
      <rgbColor rgb="FFFFC7CE"/>
      <rgbColor rgb="FFAEAEAE"/>
      <rgbColor rgb="FFF6C6AD"/>
      <rgbColor rgb="FF3366FF"/>
      <rgbColor rgb="FF33CCCC"/>
      <rgbColor rgb="FF8ED973"/>
      <rgbColor rgb="FFFFC000"/>
      <rgbColor rgb="FFFF9900"/>
      <rgbColor rgb="FFFF6600"/>
      <rgbColor rgb="FF5C5C5C"/>
      <rgbColor rgb="FF8B8B8B"/>
      <rgbColor rgb="FF104862"/>
      <rgbColor rgb="FF467886"/>
      <rgbColor rgb="FF003300"/>
      <rgbColor rgb="FF333300"/>
      <rgbColor rgb="FFAB4122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A6A6A6"/>
      <color rgb="FFFFFEAB"/>
      <color rgb="FFFFFE97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CF3-C847-A499-796560C59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overlap val="-27"/>
        <c:axId val="62138422"/>
        <c:axId val="9218713"/>
      </c:barChart>
      <c:catAx>
        <c:axId val="621384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400" b="1" strike="noStrike" spc="-1">
                <a:solidFill>
                  <a:srgbClr val="5C5C5C"/>
                </a:solidFill>
                <a:latin typeface="Inter 18pt 18pt Black"/>
                <a:ea typeface="Inter 18pt 18pt Black"/>
              </a:defRPr>
            </a:pPr>
            <a:endParaRPr lang="es-US"/>
          </a:p>
        </c:txPr>
        <c:crossAx val="9218713"/>
        <c:crosses val="autoZero"/>
        <c:auto val="1"/>
        <c:lblAlgn val="ctr"/>
        <c:lblOffset val="100"/>
        <c:noMultiLvlLbl val="0"/>
      </c:catAx>
      <c:valAx>
        <c:axId val="921871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21384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categories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5D7-5F46-81D8-D6511E603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7283161"/>
        <c:axId val="30441152"/>
      </c:barChart>
      <c:catAx>
        <c:axId val="4728316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0441152"/>
        <c:crosses val="autoZero"/>
        <c:auto val="1"/>
        <c:lblAlgn val="ctr"/>
        <c:lblOffset val="100"/>
        <c:noMultiLvlLbl val="0"/>
      </c:catAx>
      <c:valAx>
        <c:axId val="30441152"/>
        <c:scaling>
          <c:orientation val="minMax"/>
          <c:max val="11000000"/>
          <c:min val="-3000000"/>
        </c:scaling>
        <c:delete val="1"/>
        <c:axPos val="l"/>
        <c:numFmt formatCode="General" sourceLinked="1"/>
        <c:majorTickMark val="none"/>
        <c:minorTickMark val="none"/>
        <c:tickLblPos val="nextTo"/>
        <c:crossAx val="472831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88200</xdr:colOff>
      <xdr:row>1</xdr:row>
      <xdr:rowOff>7920</xdr:rowOff>
    </xdr:from>
    <xdr:to>
      <xdr:col>5</xdr:col>
      <xdr:colOff>87480</xdr:colOff>
      <xdr:row>9</xdr:row>
      <xdr:rowOff>48240</xdr:rowOff>
    </xdr:to>
    <xdr:pic>
      <xdr:nvPicPr>
        <xdr:cNvPr id="2" name="Imagen 1" descr="Boot Logos: the Best Boot Logo Images | 99designs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24529" t="30267" r="29065" b="44796"/>
        <a:stretch/>
      </xdr:blipFill>
      <xdr:spPr>
        <a:xfrm flipH="1">
          <a:off x="770760" y="179280"/>
          <a:ext cx="2729880" cy="1411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177840</xdr:colOff>
      <xdr:row>5</xdr:row>
      <xdr:rowOff>108000</xdr:rowOff>
    </xdr:from>
    <xdr:to>
      <xdr:col>12</xdr:col>
      <xdr:colOff>367560</xdr:colOff>
      <xdr:row>29</xdr:row>
      <xdr:rowOff>98640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393840</xdr:colOff>
      <xdr:row>8</xdr:row>
      <xdr:rowOff>83880</xdr:rowOff>
    </xdr:from>
    <xdr:to>
      <xdr:col>24</xdr:col>
      <xdr:colOff>482040</xdr:colOff>
      <xdr:row>31</xdr:row>
      <xdr:rowOff>8280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380880</xdr:colOff>
      <xdr:row>1</xdr:row>
      <xdr:rowOff>123120</xdr:rowOff>
    </xdr:from>
    <xdr:to>
      <xdr:col>3</xdr:col>
      <xdr:colOff>456480</xdr:colOff>
      <xdr:row>4</xdr:row>
      <xdr:rowOff>28080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380880" y="294480"/>
          <a:ext cx="2123640" cy="419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571680</xdr:colOff>
      <xdr:row>1</xdr:row>
      <xdr:rowOff>59400</xdr:rowOff>
    </xdr:from>
    <xdr:to>
      <xdr:col>8</xdr:col>
      <xdr:colOff>482040</xdr:colOff>
      <xdr:row>4</xdr:row>
      <xdr:rowOff>98280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3302280" y="230760"/>
          <a:ext cx="2640600" cy="553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1454400</xdr:colOff>
      <xdr:row>4</xdr:row>
      <xdr:rowOff>97560</xdr:rowOff>
    </xdr:from>
    <xdr:to>
      <xdr:col>14</xdr:col>
      <xdr:colOff>778680</xdr:colOff>
      <xdr:row>9</xdr:row>
      <xdr:rowOff>10080</xdr:rowOff>
    </xdr:to>
    <xdr:pic>
      <xdr:nvPicPr>
        <xdr:cNvPr id="5" name="Imagen 1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542000" y="1459800"/>
          <a:ext cx="2245320" cy="1531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1129974</xdr:colOff>
      <xdr:row>18</xdr:row>
      <xdr:rowOff>161734</xdr:rowOff>
    </xdr:from>
    <xdr:to>
      <xdr:col>9</xdr:col>
      <xdr:colOff>481329</xdr:colOff>
      <xdr:row>23</xdr:row>
      <xdr:rowOff>259428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AAADBF6-A2CB-89F1-325A-FEC2C510E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89589" y="5476196"/>
          <a:ext cx="1989048" cy="1377463"/>
        </a:xfrm>
        <a:prstGeom prst="rect">
          <a:avLst/>
        </a:prstGeom>
      </xdr:spPr>
    </xdr:pic>
    <xdr:clientData/>
  </xdr:twoCellAnchor>
  <xdr:twoCellAnchor editAs="oneCell">
    <xdr:from>
      <xdr:col>5</xdr:col>
      <xdr:colOff>185614</xdr:colOff>
      <xdr:row>20</xdr:row>
      <xdr:rowOff>146539</xdr:rowOff>
    </xdr:from>
    <xdr:to>
      <xdr:col>5</xdr:col>
      <xdr:colOff>957698</xdr:colOff>
      <xdr:row>22</xdr:row>
      <xdr:rowOff>58616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09A0AC-9230-BB8D-15E8-3EAB46DEF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00614" y="5890847"/>
          <a:ext cx="772084" cy="478692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6</xdr:col>
      <xdr:colOff>771769</xdr:colOff>
      <xdr:row>20</xdr:row>
      <xdr:rowOff>29307</xdr:rowOff>
    </xdr:from>
    <xdr:to>
      <xdr:col>7</xdr:col>
      <xdr:colOff>1045309</xdr:colOff>
      <xdr:row>22</xdr:row>
      <xdr:rowOff>216800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27613E-7FB9-F808-74B1-126DB613D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59077" y="5773615"/>
          <a:ext cx="1445847" cy="754108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5</xdr:col>
      <xdr:colOff>1094154</xdr:colOff>
      <xdr:row>20</xdr:row>
      <xdr:rowOff>39077</xdr:rowOff>
    </xdr:from>
    <xdr:to>
      <xdr:col>6</xdr:col>
      <xdr:colOff>672940</xdr:colOff>
      <xdr:row>22</xdr:row>
      <xdr:rowOff>214923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F7ABF00-EF1E-FE8E-F839-F64262633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09154" y="5783385"/>
          <a:ext cx="751094" cy="742461"/>
        </a:xfrm>
        <a:prstGeom prst="rect">
          <a:avLst/>
        </a:prstGeom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0B3DEC2-11DB-1144-8128-6B2F50CD7FC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7aa5ecab-6894-4a5e-902e-64db56f0deec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776C148-EA85-6F46-907D-F90D8E416110}">
  <we:reference id="wa104100404" version="3.0.0.1" store="en-US" storeType="OMEX"/>
  <we:alternateReferences>
    <we:reference id="WA104100404" version="3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finance.yahoo.com/q/hp?s=%5EMXX+Historical+Prices" TargetMode="External"/><Relationship Id="rId2" Type="http://schemas.openxmlformats.org/officeDocument/2006/relationships/hyperlink" Target="http://www.banxico.org.mx/portal-inflacion/inflacion.html" TargetMode="External"/><Relationship Id="rId1" Type="http://schemas.openxmlformats.org/officeDocument/2006/relationships/hyperlink" Target="http://www.banxico.org.mx/SieInternet/consultarDirectorioInternetAction.do?accion=consultarCuadro&amp;idCuadro=CF107&amp;sector=22&amp;locale=es" TargetMode="External"/><Relationship Id="rId5" Type="http://schemas.openxmlformats.org/officeDocument/2006/relationships/hyperlink" Target="https://mx.investing.com/rates-bonds/mexico-10-year" TargetMode="External"/><Relationship Id="rId4" Type="http://schemas.openxmlformats.org/officeDocument/2006/relationships/hyperlink" Target="http://eleconomista.com.mx/mercados-estadisticas/2014/05/22/mejora-pronostico-i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F14"/>
  <sheetViews>
    <sheetView showGridLines="0" tabSelected="1" zoomScale="160" zoomScaleNormal="160" workbookViewId="0">
      <selection activeCell="A11" sqref="A11:F13"/>
    </sheetView>
  </sheetViews>
  <sheetFormatPr baseColWidth="10" defaultColWidth="10.796875" defaultRowHeight="14"/>
  <sheetData>
    <row r="11" spans="1:6" ht="13.5" customHeight="1">
      <c r="A11" s="296" t="s">
        <v>0</v>
      </c>
      <c r="B11" s="296"/>
      <c r="C11" s="296"/>
      <c r="D11" s="296"/>
      <c r="E11" s="296"/>
      <c r="F11" s="296"/>
    </row>
    <row r="12" spans="1:6" ht="13.5" customHeight="1">
      <c r="A12" s="296"/>
      <c r="B12" s="296"/>
      <c r="C12" s="296"/>
      <c r="D12" s="296"/>
      <c r="E12" s="296"/>
      <c r="F12" s="296"/>
    </row>
    <row r="13" spans="1:6" ht="13.5" customHeight="1">
      <c r="A13" s="296"/>
      <c r="B13" s="296"/>
      <c r="C13" s="296"/>
      <c r="D13" s="296"/>
      <c r="E13" s="296"/>
      <c r="F13" s="296"/>
    </row>
    <row r="14" spans="1:6" ht="18" customHeight="1">
      <c r="A14" s="297" t="s">
        <v>1</v>
      </c>
      <c r="B14" s="297"/>
      <c r="C14" s="297"/>
      <c r="D14" s="297"/>
      <c r="E14" s="297"/>
      <c r="F14" s="297"/>
    </row>
  </sheetData>
  <mergeCells count="2">
    <mergeCell ref="A11:F13"/>
    <mergeCell ref="A14:F14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8"/>
  <sheetViews>
    <sheetView showGridLines="0" zoomScale="130" zoomScaleNormal="130" workbookViewId="0">
      <pane xSplit="2" ySplit="5" topLeftCell="H6" activePane="bottomRight" state="frozen"/>
      <selection pane="topRight" activeCell="C1" sqref="C1"/>
      <selection pane="bottomLeft" activeCell="A6" sqref="A6"/>
      <selection pane="bottomRight" activeCell="M3" sqref="M3"/>
    </sheetView>
  </sheetViews>
  <sheetFormatPr baseColWidth="10" defaultColWidth="13" defaultRowHeight="14" outlineLevelRow="1" outlineLevelCol="1"/>
  <cols>
    <col min="1" max="1" width="4.19921875" style="1" customWidth="1"/>
    <col min="2" max="2" width="27.59765625" style="4" customWidth="1"/>
    <col min="3" max="3" width="7.19921875" style="5" customWidth="1"/>
    <col min="4" max="15" width="18.3984375" style="1" customWidth="1" outlineLevel="1"/>
    <col min="16" max="16" width="2.3984375" style="1" customWidth="1"/>
    <col min="17" max="21" width="18.3984375" style="1" customWidth="1"/>
    <col min="22" max="16384" width="13" style="1"/>
  </cols>
  <sheetData>
    <row r="1" spans="1:21" ht="18" customHeight="1">
      <c r="A1" s="298"/>
      <c r="B1" s="298"/>
      <c r="D1" s="299" t="s">
        <v>2</v>
      </c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</row>
    <row r="2" spans="1:21" ht="18" customHeight="1">
      <c r="D2" s="300" t="s">
        <v>3</v>
      </c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</row>
    <row r="4" spans="1:21" ht="13.5" customHeight="1">
      <c r="R4" s="271">
        <v>0.3</v>
      </c>
      <c r="S4" s="271">
        <v>0.25</v>
      </c>
      <c r="T4" s="271">
        <v>0.2</v>
      </c>
      <c r="U4" s="271">
        <v>0.15</v>
      </c>
    </row>
    <row r="5" spans="1:21" ht="13.5" customHeight="1"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6" t="s">
        <v>11</v>
      </c>
      <c r="L5" s="6" t="s">
        <v>12</v>
      </c>
      <c r="M5" s="6" t="s">
        <v>13</v>
      </c>
      <c r="N5" s="6" t="s">
        <v>14</v>
      </c>
      <c r="O5" s="6" t="s">
        <v>15</v>
      </c>
      <c r="Q5" s="7" t="s">
        <v>16</v>
      </c>
      <c r="R5" s="7" t="s">
        <v>17</v>
      </c>
      <c r="S5" s="7" t="s">
        <v>18</v>
      </c>
      <c r="T5" s="7" t="s">
        <v>19</v>
      </c>
      <c r="U5" s="7" t="s">
        <v>20</v>
      </c>
    </row>
    <row r="6" spans="1:21" ht="4.5" customHeight="1"/>
    <row r="7" spans="1:21" s="8" customFormat="1" ht="13.5" customHeight="1" outlineLevel="1">
      <c r="B7" s="4" t="s">
        <v>21</v>
      </c>
      <c r="C7" s="9">
        <v>0.4</v>
      </c>
      <c r="D7" s="10">
        <f t="shared" ref="D7:O7" si="0">D11*$C$7</f>
        <v>0</v>
      </c>
      <c r="E7" s="10">
        <f t="shared" si="0"/>
        <v>10</v>
      </c>
      <c r="F7" s="10">
        <f t="shared" si="0"/>
        <v>10</v>
      </c>
      <c r="G7" s="10">
        <f t="shared" si="0"/>
        <v>10</v>
      </c>
      <c r="H7" s="10">
        <f t="shared" si="0"/>
        <v>20</v>
      </c>
      <c r="I7" s="10">
        <f t="shared" si="0"/>
        <v>30</v>
      </c>
      <c r="J7" s="10">
        <f t="shared" si="0"/>
        <v>30</v>
      </c>
      <c r="K7" s="10">
        <f t="shared" si="0"/>
        <v>50</v>
      </c>
      <c r="L7" s="10">
        <f t="shared" si="0"/>
        <v>60</v>
      </c>
      <c r="M7" s="10">
        <f t="shared" si="0"/>
        <v>60</v>
      </c>
      <c r="N7" s="10">
        <f t="shared" si="0"/>
        <v>80</v>
      </c>
      <c r="O7" s="10">
        <f t="shared" si="0"/>
        <v>60</v>
      </c>
      <c r="P7" s="11"/>
      <c r="Q7" s="12">
        <f>SUM(C7:P7)</f>
        <v>420.4</v>
      </c>
      <c r="R7" s="12">
        <f>Q7*(1+$R$4)</f>
        <v>546.52</v>
      </c>
      <c r="S7" s="12">
        <f>R7*(1+$S$4)</f>
        <v>683.15</v>
      </c>
      <c r="T7" s="12">
        <f>S7*(1+$T$4)</f>
        <v>819.78</v>
      </c>
      <c r="U7" s="12">
        <f>T7*(1+$U$4)</f>
        <v>942.74699999999984</v>
      </c>
    </row>
    <row r="8" spans="1:21" s="8" customFormat="1" ht="13.5" customHeight="1" outlineLevel="1">
      <c r="B8" s="4" t="s">
        <v>22</v>
      </c>
      <c r="C8" s="9">
        <v>0.3</v>
      </c>
      <c r="D8" s="10">
        <f t="shared" ref="D8:O8" si="1">D11*$C$8</f>
        <v>0</v>
      </c>
      <c r="E8" s="10">
        <f t="shared" si="1"/>
        <v>7.5</v>
      </c>
      <c r="F8" s="10">
        <f t="shared" si="1"/>
        <v>7.5</v>
      </c>
      <c r="G8" s="10">
        <f t="shared" si="1"/>
        <v>7.5</v>
      </c>
      <c r="H8" s="10">
        <f t="shared" si="1"/>
        <v>15</v>
      </c>
      <c r="I8" s="10">
        <f t="shared" si="1"/>
        <v>22.5</v>
      </c>
      <c r="J8" s="10">
        <f t="shared" si="1"/>
        <v>22.5</v>
      </c>
      <c r="K8" s="10">
        <f t="shared" si="1"/>
        <v>37.5</v>
      </c>
      <c r="L8" s="10">
        <f t="shared" si="1"/>
        <v>45</v>
      </c>
      <c r="M8" s="10">
        <f t="shared" si="1"/>
        <v>45</v>
      </c>
      <c r="N8" s="10">
        <f t="shared" si="1"/>
        <v>60</v>
      </c>
      <c r="O8" s="10">
        <f t="shared" si="1"/>
        <v>45</v>
      </c>
      <c r="P8" s="11"/>
      <c r="Q8" s="12">
        <f>SUM(C8:P8)</f>
        <v>315.3</v>
      </c>
      <c r="R8" s="12">
        <f>Q8*(1+$R$4)</f>
        <v>409.89000000000004</v>
      </c>
      <c r="S8" s="12">
        <f>R8*(1+$S$4)</f>
        <v>512.36250000000007</v>
      </c>
      <c r="T8" s="12">
        <f>S8*(1+$T$4)</f>
        <v>614.83500000000004</v>
      </c>
      <c r="U8" s="12">
        <f>T8*(1+$U$4)</f>
        <v>707.06025</v>
      </c>
    </row>
    <row r="9" spans="1:21" s="8" customFormat="1" ht="13.5" customHeight="1" outlineLevel="1">
      <c r="B9" s="4" t="s">
        <v>23</v>
      </c>
      <c r="C9" s="9">
        <v>0.2</v>
      </c>
      <c r="D9" s="10">
        <f t="shared" ref="D9:O9" si="2">D11*$C$9</f>
        <v>0</v>
      </c>
      <c r="E9" s="10">
        <f t="shared" si="2"/>
        <v>5</v>
      </c>
      <c r="F9" s="10">
        <f t="shared" si="2"/>
        <v>5</v>
      </c>
      <c r="G9" s="10">
        <f t="shared" si="2"/>
        <v>5</v>
      </c>
      <c r="H9" s="10">
        <f t="shared" si="2"/>
        <v>10</v>
      </c>
      <c r="I9" s="10">
        <f t="shared" si="2"/>
        <v>15</v>
      </c>
      <c r="J9" s="10">
        <f t="shared" si="2"/>
        <v>15</v>
      </c>
      <c r="K9" s="10">
        <f t="shared" si="2"/>
        <v>25</v>
      </c>
      <c r="L9" s="10">
        <f t="shared" si="2"/>
        <v>30</v>
      </c>
      <c r="M9" s="10">
        <f t="shared" si="2"/>
        <v>30</v>
      </c>
      <c r="N9" s="10">
        <f t="shared" si="2"/>
        <v>40</v>
      </c>
      <c r="O9" s="10">
        <f t="shared" si="2"/>
        <v>30</v>
      </c>
      <c r="P9" s="11"/>
      <c r="Q9" s="12">
        <f>SUM(C9:P9)</f>
        <v>210.2</v>
      </c>
      <c r="R9" s="12">
        <f>Q9*(1+$R$4)</f>
        <v>273.26</v>
      </c>
      <c r="S9" s="12">
        <f>R9*(1+$S$4)</f>
        <v>341.57499999999999</v>
      </c>
      <c r="T9" s="12">
        <f>S9*(1+$T$4)</f>
        <v>409.89</v>
      </c>
      <c r="U9" s="12">
        <f>T9*(1+$U$4)</f>
        <v>471.37349999999992</v>
      </c>
    </row>
    <row r="10" spans="1:21" s="8" customFormat="1" ht="15" customHeight="1" outlineLevel="1">
      <c r="B10" s="4" t="s">
        <v>24</v>
      </c>
      <c r="C10" s="9">
        <v>0.1</v>
      </c>
      <c r="D10" s="13">
        <f t="shared" ref="D10:O10" si="3">D11*$C$10</f>
        <v>0</v>
      </c>
      <c r="E10" s="13">
        <f t="shared" si="3"/>
        <v>2.5</v>
      </c>
      <c r="F10" s="13">
        <f t="shared" si="3"/>
        <v>2.5</v>
      </c>
      <c r="G10" s="13">
        <f t="shared" si="3"/>
        <v>2.5</v>
      </c>
      <c r="H10" s="13">
        <f t="shared" si="3"/>
        <v>5</v>
      </c>
      <c r="I10" s="13">
        <f t="shared" si="3"/>
        <v>7.5</v>
      </c>
      <c r="J10" s="13">
        <f t="shared" si="3"/>
        <v>7.5</v>
      </c>
      <c r="K10" s="13">
        <f t="shared" si="3"/>
        <v>12.5</v>
      </c>
      <c r="L10" s="13">
        <f t="shared" si="3"/>
        <v>15</v>
      </c>
      <c r="M10" s="13">
        <f t="shared" si="3"/>
        <v>15</v>
      </c>
      <c r="N10" s="13">
        <f t="shared" si="3"/>
        <v>20</v>
      </c>
      <c r="O10" s="13">
        <f t="shared" si="3"/>
        <v>15</v>
      </c>
      <c r="P10" s="11"/>
      <c r="Q10" s="14">
        <f>SUM(C10:P10)</f>
        <v>105.1</v>
      </c>
      <c r="R10" s="14">
        <f>Q10*(1+$R$4)</f>
        <v>136.63</v>
      </c>
      <c r="S10" s="14">
        <f>R10*(1+$S$4)</f>
        <v>170.78749999999999</v>
      </c>
      <c r="T10" s="14">
        <f>S10*(1+$T$4)</f>
        <v>204.94499999999999</v>
      </c>
      <c r="U10" s="14">
        <f>T10*(1+$U$4)</f>
        <v>235.68674999999996</v>
      </c>
    </row>
    <row r="11" spans="1:21" s="8" customFormat="1" ht="13.5" customHeight="1">
      <c r="B11" s="15" t="s">
        <v>25</v>
      </c>
      <c r="C11" s="16"/>
      <c r="D11" s="272">
        <v>0</v>
      </c>
      <c r="E11" s="272">
        <v>25</v>
      </c>
      <c r="F11" s="272">
        <v>25</v>
      </c>
      <c r="G11" s="272">
        <v>25</v>
      </c>
      <c r="H11" s="272">
        <v>50</v>
      </c>
      <c r="I11" s="272">
        <v>75</v>
      </c>
      <c r="J11" s="272">
        <v>75</v>
      </c>
      <c r="K11" s="272">
        <v>125</v>
      </c>
      <c r="L11" s="272">
        <v>150</v>
      </c>
      <c r="M11" s="272">
        <v>150</v>
      </c>
      <c r="N11" s="272">
        <v>200</v>
      </c>
      <c r="O11" s="272">
        <v>150</v>
      </c>
      <c r="P11" s="11"/>
      <c r="Q11" s="17">
        <f>SUM(Q7:Q10)</f>
        <v>1051</v>
      </c>
      <c r="R11" s="17">
        <f>SUM(R7:R10)</f>
        <v>1366.3000000000002</v>
      </c>
      <c r="S11" s="17">
        <f>SUM(S7:S10)</f>
        <v>1707.875</v>
      </c>
      <c r="T11" s="17">
        <f>SUM(T7:T10)</f>
        <v>2049.4500000000003</v>
      </c>
      <c r="U11" s="17">
        <f>SUM(U7:U10)</f>
        <v>2356.8674999999994</v>
      </c>
    </row>
    <row r="12" spans="1:21" ht="13.5" customHeight="1"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</row>
    <row r="13" spans="1:21" s="8" customFormat="1" ht="13.5" customHeight="1" outlineLevel="1">
      <c r="B13" s="4" t="s">
        <v>21</v>
      </c>
      <c r="C13" s="9"/>
      <c r="D13" s="19">
        <f>D7*Pricing!$P$3</f>
        <v>0</v>
      </c>
      <c r="E13" s="19">
        <f>E7*Pricing!$P$3</f>
        <v>35000</v>
      </c>
      <c r="F13" s="19">
        <f>F7*Pricing!$P$3</f>
        <v>35000</v>
      </c>
      <c r="G13" s="19">
        <f>G7*Pricing!$P$3</f>
        <v>35000</v>
      </c>
      <c r="H13" s="19">
        <f>H7*Pricing!$P$3</f>
        <v>70000</v>
      </c>
      <c r="I13" s="19">
        <f>I7*Pricing!$P$3</f>
        <v>105000</v>
      </c>
      <c r="J13" s="19">
        <f>J7*Pricing!$P$3</f>
        <v>105000</v>
      </c>
      <c r="K13" s="19">
        <f>K7*Pricing!$P$3</f>
        <v>175000</v>
      </c>
      <c r="L13" s="19">
        <f>L7*Pricing!$P$3</f>
        <v>210000</v>
      </c>
      <c r="M13" s="19">
        <f>M7*Pricing!$P$3</f>
        <v>210000</v>
      </c>
      <c r="N13" s="19">
        <f>N7*Pricing!$P$3</f>
        <v>280000</v>
      </c>
      <c r="O13" s="19">
        <f>O7*Pricing!$P$3</f>
        <v>210000</v>
      </c>
      <c r="P13" s="20"/>
      <c r="Q13" s="21">
        <f>SUM(D13:O13)</f>
        <v>1470000</v>
      </c>
      <c r="R13" s="21">
        <f>R7*Pricing!$P$3</f>
        <v>1912820</v>
      </c>
      <c r="S13" s="21">
        <f>S7*Pricing!$P$3</f>
        <v>2391025</v>
      </c>
      <c r="T13" s="21">
        <f>T7*Pricing!$P$3</f>
        <v>2869230</v>
      </c>
      <c r="U13" s="21">
        <f>U7*Pricing!$P$3</f>
        <v>3299614.4999999995</v>
      </c>
    </row>
    <row r="14" spans="1:21" s="8" customFormat="1" ht="13.5" customHeight="1" outlineLevel="1">
      <c r="B14" s="4" t="s">
        <v>22</v>
      </c>
      <c r="C14" s="9"/>
      <c r="D14" s="19">
        <f>D8*Pricing!$P$4</f>
        <v>0</v>
      </c>
      <c r="E14" s="19">
        <f>E8*Pricing!$P$4</f>
        <v>26250</v>
      </c>
      <c r="F14" s="19">
        <f>F8*Pricing!$P$4</f>
        <v>26250</v>
      </c>
      <c r="G14" s="19">
        <f>G8*Pricing!$P$4</f>
        <v>26250</v>
      </c>
      <c r="H14" s="19">
        <f>H8*Pricing!$P$4</f>
        <v>52500</v>
      </c>
      <c r="I14" s="19">
        <f>I8*Pricing!$P$4</f>
        <v>78750</v>
      </c>
      <c r="J14" s="19">
        <f>J8*Pricing!$P$4</f>
        <v>78750</v>
      </c>
      <c r="K14" s="19">
        <f>K8*Pricing!$P$4</f>
        <v>131250</v>
      </c>
      <c r="L14" s="19">
        <f>L8*Pricing!$P$4</f>
        <v>157500</v>
      </c>
      <c r="M14" s="19">
        <f>M8*Pricing!$P$4</f>
        <v>157500</v>
      </c>
      <c r="N14" s="19">
        <f>N8*Pricing!$P$4</f>
        <v>210000</v>
      </c>
      <c r="O14" s="19">
        <f>O8*Pricing!$P$4</f>
        <v>157500</v>
      </c>
      <c r="P14" s="20"/>
      <c r="Q14" s="21">
        <f>SUM(D14:O14)</f>
        <v>1102500</v>
      </c>
      <c r="R14" s="21">
        <f>R8*Pricing!$P$4</f>
        <v>1434615.0000000002</v>
      </c>
      <c r="S14" s="21">
        <f>S8*Pricing!$P$4</f>
        <v>1793268.7500000002</v>
      </c>
      <c r="T14" s="21">
        <f>T8*Pricing!$P$4</f>
        <v>2151922.5</v>
      </c>
      <c r="U14" s="21">
        <f>U8*Pricing!$P$4</f>
        <v>2474710.875</v>
      </c>
    </row>
    <row r="15" spans="1:21" s="8" customFormat="1" ht="13.5" customHeight="1" outlineLevel="1">
      <c r="B15" s="4" t="s">
        <v>23</v>
      </c>
      <c r="C15" s="9"/>
      <c r="D15" s="19">
        <f>Pricing!$P$5*'Presupuesto Anual'!D9</f>
        <v>0</v>
      </c>
      <c r="E15" s="19">
        <f>Pricing!$P$5*'Presupuesto Anual'!E9</f>
        <v>20000</v>
      </c>
      <c r="F15" s="19">
        <f>Pricing!$P$5*'Presupuesto Anual'!F9</f>
        <v>20000</v>
      </c>
      <c r="G15" s="19">
        <f>Pricing!$P$5*'Presupuesto Anual'!G9</f>
        <v>20000</v>
      </c>
      <c r="H15" s="19">
        <f>Pricing!$P$5*'Presupuesto Anual'!H9</f>
        <v>40000</v>
      </c>
      <c r="I15" s="19">
        <f>Pricing!$P$5*'Presupuesto Anual'!I9</f>
        <v>60000</v>
      </c>
      <c r="J15" s="19">
        <f>Pricing!$P$5*'Presupuesto Anual'!J9</f>
        <v>60000</v>
      </c>
      <c r="K15" s="19">
        <f>Pricing!$P$5*'Presupuesto Anual'!K9</f>
        <v>100000</v>
      </c>
      <c r="L15" s="19">
        <f>Pricing!$P$5*'Presupuesto Anual'!L9</f>
        <v>120000</v>
      </c>
      <c r="M15" s="19">
        <f>Pricing!$P$5*'Presupuesto Anual'!M9</f>
        <v>120000</v>
      </c>
      <c r="N15" s="19">
        <f>Pricing!$P$5*'Presupuesto Anual'!N9</f>
        <v>160000</v>
      </c>
      <c r="O15" s="19">
        <f>Pricing!$P$5*'Presupuesto Anual'!O9</f>
        <v>120000</v>
      </c>
      <c r="P15" s="20"/>
      <c r="Q15" s="21">
        <f>SUM(D15:O15)</f>
        <v>840000</v>
      </c>
      <c r="R15" s="21">
        <f>Pricing!$P$5*'Presupuesto Anual'!R9</f>
        <v>1093040</v>
      </c>
      <c r="S15" s="21">
        <f>Pricing!$P$5*'Presupuesto Anual'!S9</f>
        <v>1366300</v>
      </c>
      <c r="T15" s="21">
        <f>Pricing!$P$5*'Presupuesto Anual'!T9</f>
        <v>1639560</v>
      </c>
      <c r="U15" s="21">
        <f>Pricing!$P$5*'Presupuesto Anual'!U9</f>
        <v>1885493.9999999998</v>
      </c>
    </row>
    <row r="16" spans="1:21" s="8" customFormat="1" ht="15" customHeight="1" outlineLevel="1">
      <c r="B16" s="4" t="s">
        <v>24</v>
      </c>
      <c r="C16" s="9"/>
      <c r="D16" s="22">
        <f>Pricing!$P$6*'Presupuesto Anual'!D10</f>
        <v>0</v>
      </c>
      <c r="E16" s="22">
        <f>Pricing!$P$6*'Presupuesto Anual'!E10</f>
        <v>11250</v>
      </c>
      <c r="F16" s="22">
        <f>Pricing!$P$6*'Presupuesto Anual'!F10</f>
        <v>11250</v>
      </c>
      <c r="G16" s="22">
        <f>Pricing!$P$6*'Presupuesto Anual'!G10</f>
        <v>11250</v>
      </c>
      <c r="H16" s="22">
        <f>Pricing!$P$6*'Presupuesto Anual'!H10</f>
        <v>22500</v>
      </c>
      <c r="I16" s="22">
        <f>Pricing!$P$6*'Presupuesto Anual'!I10</f>
        <v>33750</v>
      </c>
      <c r="J16" s="22">
        <f>Pricing!$P$6*'Presupuesto Anual'!J10</f>
        <v>33750</v>
      </c>
      <c r="K16" s="22">
        <f>Pricing!$P$6*'Presupuesto Anual'!K10</f>
        <v>56250</v>
      </c>
      <c r="L16" s="22">
        <f>Pricing!$P$6*'Presupuesto Anual'!L10</f>
        <v>67500</v>
      </c>
      <c r="M16" s="22">
        <f>Pricing!$P$6*'Presupuesto Anual'!M10</f>
        <v>67500</v>
      </c>
      <c r="N16" s="22">
        <f>Pricing!$P$6*'Presupuesto Anual'!N10</f>
        <v>90000</v>
      </c>
      <c r="O16" s="22">
        <f>Pricing!$P$6*'Presupuesto Anual'!O10</f>
        <v>67500</v>
      </c>
      <c r="P16" s="20"/>
      <c r="Q16" s="23">
        <f>SUM(D16:O16)</f>
        <v>472500</v>
      </c>
      <c r="R16" s="23">
        <f>Pricing!$P$6*'Presupuesto Anual'!R10</f>
        <v>614835</v>
      </c>
      <c r="S16" s="23">
        <f>Pricing!$P$6*'Presupuesto Anual'!S10</f>
        <v>768543.75</v>
      </c>
      <c r="T16" s="23">
        <f>Pricing!$P$6*'Presupuesto Anual'!T10</f>
        <v>922252.5</v>
      </c>
      <c r="U16" s="23">
        <f>Pricing!$P$6*'Presupuesto Anual'!U10</f>
        <v>1060590.3749999998</v>
      </c>
    </row>
    <row r="17" spans="2:21" ht="15" customHeight="1" outlineLevel="1"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2:21" s="8" customFormat="1" ht="13.5" customHeight="1">
      <c r="B18" s="25" t="s">
        <v>26</v>
      </c>
      <c r="C18" s="16"/>
      <c r="D18" s="26">
        <f t="shared" ref="D18:O18" si="4">SUM(D13:D17)</f>
        <v>0</v>
      </c>
      <c r="E18" s="26">
        <f t="shared" si="4"/>
        <v>92500</v>
      </c>
      <c r="F18" s="26">
        <f t="shared" si="4"/>
        <v>92500</v>
      </c>
      <c r="G18" s="26">
        <f t="shared" si="4"/>
        <v>92500</v>
      </c>
      <c r="H18" s="26">
        <f t="shared" si="4"/>
        <v>185000</v>
      </c>
      <c r="I18" s="26">
        <f t="shared" si="4"/>
        <v>277500</v>
      </c>
      <c r="J18" s="26">
        <f t="shared" si="4"/>
        <v>277500</v>
      </c>
      <c r="K18" s="26">
        <f t="shared" si="4"/>
        <v>462500</v>
      </c>
      <c r="L18" s="26">
        <f t="shared" si="4"/>
        <v>555000</v>
      </c>
      <c r="M18" s="26">
        <f t="shared" si="4"/>
        <v>555000</v>
      </c>
      <c r="N18" s="26">
        <f t="shared" si="4"/>
        <v>740000</v>
      </c>
      <c r="O18" s="26">
        <f t="shared" si="4"/>
        <v>555000</v>
      </c>
      <c r="P18" s="27"/>
      <c r="Q18" s="26">
        <f>SUM(Q13:Q17)</f>
        <v>3885000</v>
      </c>
      <c r="R18" s="26">
        <f>SUM(R13:R17)</f>
        <v>5055310</v>
      </c>
      <c r="S18" s="26">
        <f>SUM(S13:S17)</f>
        <v>6319137.5</v>
      </c>
      <c r="T18" s="26">
        <f>SUM(T13:T17)</f>
        <v>7582965</v>
      </c>
      <c r="U18" s="26">
        <f>SUM(U13:U17)</f>
        <v>8720409.75</v>
      </c>
    </row>
    <row r="19" spans="2:21" s="28" customFormat="1" ht="13.5" customHeight="1">
      <c r="B19" s="29" t="s">
        <v>27</v>
      </c>
      <c r="C19" s="30"/>
      <c r="D19" s="30"/>
      <c r="E19" s="31" t="str">
        <f>IFERROR(E18/D18-1,"")</f>
        <v/>
      </c>
      <c r="F19" s="31">
        <f t="shared" ref="F19:O19" si="5">F18/E18-1</f>
        <v>0</v>
      </c>
      <c r="G19" s="31">
        <f t="shared" si="5"/>
        <v>0</v>
      </c>
      <c r="H19" s="31">
        <f t="shared" si="5"/>
        <v>1</v>
      </c>
      <c r="I19" s="31">
        <f t="shared" si="5"/>
        <v>0.5</v>
      </c>
      <c r="J19" s="31">
        <f t="shared" si="5"/>
        <v>0</v>
      </c>
      <c r="K19" s="31">
        <f t="shared" si="5"/>
        <v>0.66666666666666674</v>
      </c>
      <c r="L19" s="31">
        <f t="shared" si="5"/>
        <v>0.19999999999999996</v>
      </c>
      <c r="M19" s="31">
        <f t="shared" si="5"/>
        <v>0</v>
      </c>
      <c r="N19" s="31">
        <f t="shared" si="5"/>
        <v>0.33333333333333326</v>
      </c>
      <c r="O19" s="31">
        <f t="shared" si="5"/>
        <v>-0.25</v>
      </c>
      <c r="P19" s="29"/>
      <c r="Q19" s="24"/>
      <c r="R19" s="32">
        <f>R18/Q18-1</f>
        <v>0.3012380952380953</v>
      </c>
      <c r="S19" s="32">
        <f>S18/R18-1</f>
        <v>0.25</v>
      </c>
      <c r="T19" s="32">
        <f>T18/S18-1</f>
        <v>0.19999999999999996</v>
      </c>
      <c r="U19" s="32">
        <f>U18/T18-1</f>
        <v>0.14999999999999991</v>
      </c>
    </row>
    <row r="20" spans="2:21" ht="13.5" customHeight="1"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2:21" ht="27.75" customHeight="1">
      <c r="B21" s="33" t="s">
        <v>28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2:21" ht="6" customHeight="1"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2:21" ht="13.5" customHeight="1" outlineLevel="1">
      <c r="B23" s="34" t="s">
        <v>29</v>
      </c>
      <c r="D23" s="19">
        <f>D7*Costeo!$J$52</f>
        <v>0</v>
      </c>
      <c r="E23" s="19">
        <f>E7*Costeo!$J$52</f>
        <v>825</v>
      </c>
      <c r="F23" s="19">
        <f>F7*Costeo!$J$52</f>
        <v>825</v>
      </c>
      <c r="G23" s="19">
        <f>G7*Costeo!$J$52</f>
        <v>825</v>
      </c>
      <c r="H23" s="19">
        <f>H7*Costeo!$J$52</f>
        <v>1650</v>
      </c>
      <c r="I23" s="19">
        <f>I7*Costeo!$J$52</f>
        <v>2475</v>
      </c>
      <c r="J23" s="19">
        <f>J7*Costeo!$J$52</f>
        <v>2475</v>
      </c>
      <c r="K23" s="19">
        <f>K7*Costeo!$J$52</f>
        <v>4125</v>
      </c>
      <c r="L23" s="19">
        <f>L7*Costeo!$J$52</f>
        <v>4950</v>
      </c>
      <c r="M23" s="19">
        <f>M7*Costeo!$J$52</f>
        <v>4950</v>
      </c>
      <c r="N23" s="19">
        <f>N7*Costeo!$J$52</f>
        <v>6600</v>
      </c>
      <c r="O23" s="19">
        <f>O7*Costeo!$J$52</f>
        <v>4950</v>
      </c>
      <c r="P23" s="24"/>
      <c r="Q23" s="19">
        <f t="shared" ref="Q23:Q36" si="6">SUM(D23:O23)</f>
        <v>34650</v>
      </c>
      <c r="R23" s="19">
        <f>Q23*(1+R$4)*(1+SUPUESTOS!$D$6)</f>
        <v>46621.574999999997</v>
      </c>
      <c r="S23" s="19">
        <f>R23*(1+S$4)*(1+SUPUESTOS!$D$6)</f>
        <v>60316.662656249995</v>
      </c>
      <c r="T23" s="19">
        <f>S23*(1+T$4)*(1+SUPUESTOS!$D$6)</f>
        <v>74913.295019062498</v>
      </c>
      <c r="U23" s="19">
        <f>T23*(1+U$4)*(1+SUPUESTOS!$D$6)</f>
        <v>89165.549396439121</v>
      </c>
    </row>
    <row r="24" spans="2:21" ht="13.5" customHeight="1" outlineLevel="1">
      <c r="B24" s="35" t="s">
        <v>30</v>
      </c>
      <c r="D24" s="19">
        <f>D8*Costeo!$J$53</f>
        <v>0</v>
      </c>
      <c r="E24" s="19">
        <f>E8*Costeo!$J$53</f>
        <v>816.75</v>
      </c>
      <c r="F24" s="19">
        <f>F8*Costeo!$J$53</f>
        <v>816.75</v>
      </c>
      <c r="G24" s="19">
        <f>G8*Costeo!$J$53</f>
        <v>816.75</v>
      </c>
      <c r="H24" s="19">
        <f>H8*Costeo!$J$53</f>
        <v>1633.5</v>
      </c>
      <c r="I24" s="19">
        <f>I8*Costeo!$J$53</f>
        <v>2450.25</v>
      </c>
      <c r="J24" s="19">
        <f>J8*Costeo!$J$53</f>
        <v>2450.25</v>
      </c>
      <c r="K24" s="19">
        <f>K8*Costeo!$J$53</f>
        <v>4083.75</v>
      </c>
      <c r="L24" s="19">
        <f>L8*Costeo!$J$53</f>
        <v>4900.5</v>
      </c>
      <c r="M24" s="19">
        <f>M8*Costeo!$J$53</f>
        <v>4900.5</v>
      </c>
      <c r="N24" s="19">
        <f>N8*Costeo!$J$53</f>
        <v>6534</v>
      </c>
      <c r="O24" s="19">
        <f>O8*Costeo!$J$53</f>
        <v>4900.5</v>
      </c>
      <c r="P24" s="24"/>
      <c r="Q24" s="19">
        <f t="shared" si="6"/>
        <v>34303.5</v>
      </c>
      <c r="R24" s="19">
        <f>Q24*(1+R$4)*(1+SUPUESTOS!$D$6)</f>
        <v>46155.359250000001</v>
      </c>
      <c r="S24" s="19">
        <f>R24*(1+S$4)*(1+SUPUESTOS!$D$6)</f>
        <v>59713.4960296875</v>
      </c>
      <c r="T24" s="19">
        <f>S24*(1+T$4)*(1+SUPUESTOS!$D$6)</f>
        <v>74164.162068871869</v>
      </c>
      <c r="U24" s="19">
        <f>T24*(1+U$4)*(1+SUPUESTOS!$D$6)</f>
        <v>88273.893902474738</v>
      </c>
    </row>
    <row r="25" spans="2:21" ht="13.5" customHeight="1" outlineLevel="1">
      <c r="B25" s="35" t="s">
        <v>31</v>
      </c>
      <c r="D25" s="19">
        <f>D9*Costeo!$J$54</f>
        <v>0</v>
      </c>
      <c r="E25" s="19">
        <f>E9*Costeo!$J$54</f>
        <v>965.25</v>
      </c>
      <c r="F25" s="19">
        <f>F9*Costeo!$J$54</f>
        <v>965.25</v>
      </c>
      <c r="G25" s="19">
        <f>G9*Costeo!$J$54</f>
        <v>965.25</v>
      </c>
      <c r="H25" s="19">
        <f>H9*Costeo!$J$54</f>
        <v>1930.5</v>
      </c>
      <c r="I25" s="19">
        <f>I9*Costeo!$J$54</f>
        <v>2895.75</v>
      </c>
      <c r="J25" s="19">
        <f>J9*Costeo!$J$54</f>
        <v>2895.75</v>
      </c>
      <c r="K25" s="19">
        <f>K9*Costeo!$J$54</f>
        <v>4826.25</v>
      </c>
      <c r="L25" s="19">
        <f>L9*Costeo!$J$54</f>
        <v>5791.5</v>
      </c>
      <c r="M25" s="19">
        <f>M9*Costeo!$J$54</f>
        <v>5791.5</v>
      </c>
      <c r="N25" s="19">
        <f>N9*Costeo!$J$54</f>
        <v>7722</v>
      </c>
      <c r="O25" s="19">
        <f>O9*Costeo!$J$54</f>
        <v>5791.5</v>
      </c>
      <c r="P25" s="24"/>
      <c r="Q25" s="19">
        <f t="shared" si="6"/>
        <v>40540.5</v>
      </c>
      <c r="R25" s="19">
        <f>Q25*(1+R$4)*(1+SUPUESTOS!$D$6)</f>
        <v>54547.242749999998</v>
      </c>
      <c r="S25" s="19">
        <f>R25*(1+S$4)*(1+SUPUESTOS!$D$6)</f>
        <v>70570.495307812496</v>
      </c>
      <c r="T25" s="19">
        <f>S25*(1+T$4)*(1+SUPUESTOS!$D$6)</f>
        <v>87648.555172303109</v>
      </c>
      <c r="U25" s="19">
        <f>T25*(1+U$4)*(1+SUPUESTOS!$D$6)</f>
        <v>104323.69279383376</v>
      </c>
    </row>
    <row r="26" spans="2:21" ht="13.5" customHeight="1" outlineLevel="1">
      <c r="B26" s="35" t="s">
        <v>32</v>
      </c>
      <c r="D26" s="19">
        <f>D10*Costeo!$J$55</f>
        <v>0</v>
      </c>
      <c r="E26" s="19">
        <f>E10*Costeo!$J$55</f>
        <v>783.75</v>
      </c>
      <c r="F26" s="19">
        <f>F10*Costeo!$J$55</f>
        <v>783.75</v>
      </c>
      <c r="G26" s="19">
        <f>G10*Costeo!$J$55</f>
        <v>783.75</v>
      </c>
      <c r="H26" s="19">
        <f>H10*Costeo!$J$55</f>
        <v>1567.5</v>
      </c>
      <c r="I26" s="19">
        <f>I10*Costeo!$J$55</f>
        <v>2351.25</v>
      </c>
      <c r="J26" s="19">
        <f>J10*Costeo!$J$55</f>
        <v>2351.25</v>
      </c>
      <c r="K26" s="19">
        <f>K10*Costeo!$J$55</f>
        <v>3918.75</v>
      </c>
      <c r="L26" s="19">
        <f>L10*Costeo!$J$55</f>
        <v>4702.5</v>
      </c>
      <c r="M26" s="19">
        <f>M10*Costeo!$J$55</f>
        <v>4702.5</v>
      </c>
      <c r="N26" s="19">
        <f>N10*Costeo!$J$55</f>
        <v>6270</v>
      </c>
      <c r="O26" s="19">
        <f>O10*Costeo!$J$55</f>
        <v>4702.5</v>
      </c>
      <c r="P26" s="24"/>
      <c r="Q26" s="19">
        <f t="shared" si="6"/>
        <v>32917.5</v>
      </c>
      <c r="R26" s="19">
        <f>Q26*(1+R$4)*(1+SUPUESTOS!$D$6)</f>
        <v>44290.496249999997</v>
      </c>
      <c r="S26" s="19">
        <f>R26*(1+S$4)*(1+SUPUESTOS!$D$6)</f>
        <v>57300.829523437489</v>
      </c>
      <c r="T26" s="19">
        <f>S26*(1+T$4)*(1+SUPUESTOS!$D$6)</f>
        <v>71167.630268109351</v>
      </c>
      <c r="U26" s="19">
        <f>T26*(1+U$4)*(1+SUPUESTOS!$D$6)</f>
        <v>84707.271926617148</v>
      </c>
    </row>
    <row r="27" spans="2:21" ht="13.5" customHeight="1" outlineLevel="1">
      <c r="B27" s="35" t="s">
        <v>33</v>
      </c>
      <c r="D27" s="19">
        <f>D11*Costeo!$J$56</f>
        <v>0</v>
      </c>
      <c r="E27" s="19">
        <f>E11*Costeo!$J$56</f>
        <v>250</v>
      </c>
      <c r="F27" s="19">
        <f>F11*Costeo!$J$56</f>
        <v>250</v>
      </c>
      <c r="G27" s="19">
        <f>G11*Costeo!$J$56</f>
        <v>250</v>
      </c>
      <c r="H27" s="19">
        <f>H11*Costeo!$J$56</f>
        <v>500</v>
      </c>
      <c r="I27" s="19">
        <f>I11*Costeo!$J$56</f>
        <v>750</v>
      </c>
      <c r="J27" s="19">
        <f>J11*Costeo!$J$56</f>
        <v>750</v>
      </c>
      <c r="K27" s="19">
        <f>K11*Costeo!$J$56</f>
        <v>1250</v>
      </c>
      <c r="L27" s="19">
        <f>L11*Costeo!$J$56</f>
        <v>1500</v>
      </c>
      <c r="M27" s="19">
        <f>M11*Costeo!$J$56</f>
        <v>1500</v>
      </c>
      <c r="N27" s="19">
        <f>N11*Costeo!$J$56</f>
        <v>2000</v>
      </c>
      <c r="O27" s="19">
        <f>O11*Costeo!$J$56</f>
        <v>1500</v>
      </c>
      <c r="P27" s="24"/>
      <c r="Q27" s="19">
        <f t="shared" si="6"/>
        <v>10500</v>
      </c>
      <c r="R27" s="19">
        <f>Q27*(1+R$4)*(1+SUPUESTOS!$D$6)</f>
        <v>14127.749999999998</v>
      </c>
      <c r="S27" s="19">
        <f>R27*(1+S$4)*(1+SUPUESTOS!$D$6)</f>
        <v>18277.776562499996</v>
      </c>
      <c r="T27" s="19">
        <f>S27*(1+T$4)*(1+SUPUESTOS!$D$6)</f>
        <v>22700.998490624992</v>
      </c>
      <c r="U27" s="19">
        <f>T27*(1+U$4)*(1+SUPUESTOS!$D$6)</f>
        <v>27019.863453466394</v>
      </c>
    </row>
    <row r="28" spans="2:21" ht="13.5" customHeight="1" outlineLevel="1">
      <c r="B28" s="35" t="s">
        <v>34</v>
      </c>
      <c r="D28" s="19">
        <f>D11*Costeo!$J$57</f>
        <v>0</v>
      </c>
      <c r="E28" s="19">
        <f>E11*Costeo!$J$57</f>
        <v>495</v>
      </c>
      <c r="F28" s="19">
        <f>F11*Costeo!$J$57</f>
        <v>495</v>
      </c>
      <c r="G28" s="19">
        <f>G11*Costeo!$J$57</f>
        <v>495</v>
      </c>
      <c r="H28" s="19">
        <f>H11*Costeo!$J$57</f>
        <v>990</v>
      </c>
      <c r="I28" s="19">
        <f>I11*Costeo!$J$57</f>
        <v>1485</v>
      </c>
      <c r="J28" s="19">
        <f>J11*Costeo!$J$57</f>
        <v>1485</v>
      </c>
      <c r="K28" s="19">
        <f>K11*Costeo!$J$57</f>
        <v>2475</v>
      </c>
      <c r="L28" s="19">
        <f>L11*Costeo!$J$57</f>
        <v>2970</v>
      </c>
      <c r="M28" s="19">
        <f>M11*Costeo!$J$57</f>
        <v>2970</v>
      </c>
      <c r="N28" s="19">
        <f>N11*Costeo!$J$57</f>
        <v>3960</v>
      </c>
      <c r="O28" s="19">
        <f>O11*Costeo!$J$57</f>
        <v>2970</v>
      </c>
      <c r="P28" s="24"/>
      <c r="Q28" s="19">
        <f t="shared" si="6"/>
        <v>20790</v>
      </c>
      <c r="R28" s="19">
        <f>Q28*(1+R$4)*(1+SUPUESTOS!$D$6)</f>
        <v>27972.944999999996</v>
      </c>
      <c r="S28" s="19">
        <f>R28*(1+S$4)*(1+SUPUESTOS!$D$6)</f>
        <v>36189.997593749991</v>
      </c>
      <c r="T28" s="19">
        <f>S28*(1+T$4)*(1+SUPUESTOS!$D$6)</f>
        <v>44947.977011437484</v>
      </c>
      <c r="U28" s="19">
        <f>T28*(1+U$4)*(1+SUPUESTOS!$D$6)</f>
        <v>53499.329637863462</v>
      </c>
    </row>
    <row r="29" spans="2:21" ht="13.5" customHeight="1" outlineLevel="1">
      <c r="B29" s="35" t="s">
        <v>35</v>
      </c>
      <c r="D29" s="19">
        <f>D11*Costeo!$J$58</f>
        <v>0</v>
      </c>
      <c r="E29" s="19">
        <f>E11*Costeo!$J$58</f>
        <v>11.25</v>
      </c>
      <c r="F29" s="19">
        <f>F11*Costeo!$J$58</f>
        <v>11.25</v>
      </c>
      <c r="G29" s="19">
        <f>G11*Costeo!$J$58</f>
        <v>11.25</v>
      </c>
      <c r="H29" s="19">
        <f>H11*Costeo!$J$58</f>
        <v>22.5</v>
      </c>
      <c r="I29" s="19">
        <f>I11*Costeo!$J$58</f>
        <v>33.75</v>
      </c>
      <c r="J29" s="19">
        <f>J11*Costeo!$J$58</f>
        <v>33.75</v>
      </c>
      <c r="K29" s="19">
        <f>K11*Costeo!$J$58</f>
        <v>56.25</v>
      </c>
      <c r="L29" s="19">
        <f>L11*Costeo!$J$58</f>
        <v>67.5</v>
      </c>
      <c r="M29" s="19">
        <f>M11*Costeo!$J$58</f>
        <v>67.5</v>
      </c>
      <c r="N29" s="19">
        <f>N11*Costeo!$J$58</f>
        <v>90</v>
      </c>
      <c r="O29" s="19">
        <f>O11*Costeo!$J$58</f>
        <v>67.5</v>
      </c>
      <c r="P29" s="24"/>
      <c r="Q29" s="19">
        <f t="shared" si="6"/>
        <v>472.5</v>
      </c>
      <c r="R29" s="19">
        <f>Q29*(1+R$4)*(1+SUPUESTOS!$D$6)</f>
        <v>635.74874999999997</v>
      </c>
      <c r="S29" s="19">
        <f>R29*(1+S$4)*(1+SUPUESTOS!$D$6)</f>
        <v>822.49994531249979</v>
      </c>
      <c r="T29" s="19">
        <f>S29*(1+T$4)*(1+SUPUESTOS!$D$6)</f>
        <v>1021.5449320781246</v>
      </c>
      <c r="U29" s="19">
        <f>T29*(1+U$4)*(1+SUPUESTOS!$D$6)</f>
        <v>1215.8938554059876</v>
      </c>
    </row>
    <row r="30" spans="2:21" ht="13.5" customHeight="1" outlineLevel="1">
      <c r="B30" s="35" t="s">
        <v>36</v>
      </c>
      <c r="D30" s="19">
        <f>D11*Costeo!$J$59</f>
        <v>0</v>
      </c>
      <c r="E30" s="19">
        <f>E11*Costeo!$J$59</f>
        <v>150</v>
      </c>
      <c r="F30" s="19">
        <f>F11*Costeo!$J$59</f>
        <v>150</v>
      </c>
      <c r="G30" s="19">
        <f>G11*Costeo!$J$59</f>
        <v>150</v>
      </c>
      <c r="H30" s="19">
        <f>H11*Costeo!$J$59</f>
        <v>300</v>
      </c>
      <c r="I30" s="19">
        <f>I11*Costeo!$J$59</f>
        <v>450</v>
      </c>
      <c r="J30" s="19">
        <f>J11*Costeo!$J$59</f>
        <v>450</v>
      </c>
      <c r="K30" s="19">
        <f>K11*Costeo!$J$59</f>
        <v>750</v>
      </c>
      <c r="L30" s="19">
        <f>L11*Costeo!$J$59</f>
        <v>900</v>
      </c>
      <c r="M30" s="19">
        <f>M11*Costeo!$J$59</f>
        <v>900</v>
      </c>
      <c r="N30" s="19">
        <f>N11*Costeo!$J$59</f>
        <v>1200</v>
      </c>
      <c r="O30" s="19">
        <f>O11*Costeo!$J$59</f>
        <v>900</v>
      </c>
      <c r="P30" s="24"/>
      <c r="Q30" s="19">
        <f t="shared" si="6"/>
        <v>6300</v>
      </c>
      <c r="R30" s="19">
        <f>Q30*(1+R$4)*(1+SUPUESTOS!$D$6)</f>
        <v>8476.65</v>
      </c>
      <c r="S30" s="19">
        <f>R30*(1+S$4)*(1+SUPUESTOS!$D$6)</f>
        <v>10966.6659375</v>
      </c>
      <c r="T30" s="19">
        <f>S30*(1+T$4)*(1+SUPUESTOS!$D$6)</f>
        <v>13620.599094374998</v>
      </c>
      <c r="U30" s="19">
        <f>T30*(1+U$4)*(1+SUPUESTOS!$D$6)</f>
        <v>16211.918072079839</v>
      </c>
    </row>
    <row r="31" spans="2:21" ht="13.5" customHeight="1" outlineLevel="1">
      <c r="B31" s="36" t="s">
        <v>37</v>
      </c>
      <c r="D31" s="37">
        <f>D11*Costeo!$J$60</f>
        <v>0</v>
      </c>
      <c r="E31" s="37">
        <f>E11*Costeo!$J$60</f>
        <v>2.5000000000000001E-2</v>
      </c>
      <c r="F31" s="37">
        <f>F11*Costeo!$J$60</f>
        <v>2.5000000000000001E-2</v>
      </c>
      <c r="G31" s="37">
        <f>G11*Costeo!$J$60</f>
        <v>2.5000000000000001E-2</v>
      </c>
      <c r="H31" s="37">
        <f>H11*Costeo!$J$60</f>
        <v>0.05</v>
      </c>
      <c r="I31" s="37">
        <f>I11*Costeo!$J$60</f>
        <v>7.4999999999999997E-2</v>
      </c>
      <c r="J31" s="37">
        <f>J11*Costeo!$J$60</f>
        <v>7.4999999999999997E-2</v>
      </c>
      <c r="K31" s="37">
        <f>K11*Costeo!$J$60</f>
        <v>0.125</v>
      </c>
      <c r="L31" s="37">
        <f>L11*Costeo!$J$60</f>
        <v>0.15</v>
      </c>
      <c r="M31" s="37">
        <f>M11*Costeo!$J$60</f>
        <v>0.15</v>
      </c>
      <c r="N31" s="37">
        <f>N11*Costeo!$J$60</f>
        <v>0.2</v>
      </c>
      <c r="O31" s="37">
        <f>O11*Costeo!$J$60</f>
        <v>0.15</v>
      </c>
      <c r="P31" s="24"/>
      <c r="Q31" s="19">
        <f t="shared" si="6"/>
        <v>1.05</v>
      </c>
      <c r="R31" s="19">
        <f>Q31*(1+R$4)*(1+SUPUESTOS!$D$6)</f>
        <v>1.4127750000000001</v>
      </c>
      <c r="S31" s="19">
        <f>R31*(1+S$4)*(1+SUPUESTOS!$D$6)</f>
        <v>1.8277776562499999</v>
      </c>
      <c r="T31" s="19">
        <f>S31*(1+T$4)*(1+SUPUESTOS!$D$6)</f>
        <v>2.2700998490625</v>
      </c>
      <c r="U31" s="19">
        <f>T31*(1+U$4)*(1+SUPUESTOS!$D$6)</f>
        <v>2.7019863453466404</v>
      </c>
    </row>
    <row r="32" spans="2:21" ht="13.5" customHeight="1" outlineLevel="1">
      <c r="B32" s="34" t="s">
        <v>38</v>
      </c>
      <c r="D32" s="19">
        <v>10000</v>
      </c>
      <c r="E32" s="19">
        <f t="shared" ref="E32:O32" si="7">D32</f>
        <v>10000</v>
      </c>
      <c r="F32" s="19">
        <f t="shared" si="7"/>
        <v>10000</v>
      </c>
      <c r="G32" s="19">
        <f t="shared" si="7"/>
        <v>10000</v>
      </c>
      <c r="H32" s="19">
        <f t="shared" si="7"/>
        <v>10000</v>
      </c>
      <c r="I32" s="19">
        <f t="shared" si="7"/>
        <v>10000</v>
      </c>
      <c r="J32" s="19">
        <f t="shared" si="7"/>
        <v>10000</v>
      </c>
      <c r="K32" s="19">
        <f t="shared" si="7"/>
        <v>10000</v>
      </c>
      <c r="L32" s="19">
        <f t="shared" si="7"/>
        <v>10000</v>
      </c>
      <c r="M32" s="19">
        <f t="shared" si="7"/>
        <v>10000</v>
      </c>
      <c r="N32" s="19">
        <f t="shared" si="7"/>
        <v>10000</v>
      </c>
      <c r="O32" s="19">
        <f t="shared" si="7"/>
        <v>10000</v>
      </c>
      <c r="P32" s="24"/>
      <c r="Q32" s="19">
        <f t="shared" si="6"/>
        <v>120000</v>
      </c>
      <c r="R32" s="19">
        <f>Q32*(1+R$4)*(1+SUPUESTOS!$D$6)</f>
        <v>161460</v>
      </c>
      <c r="S32" s="19">
        <f>R32*(1+S$4)*(1+SUPUESTOS!$D$6)</f>
        <v>208888.87499999997</v>
      </c>
      <c r="T32" s="19">
        <f>S32*(1+T$4)*(1+SUPUESTOS!$D$6)</f>
        <v>259439.98274999994</v>
      </c>
      <c r="U32" s="19">
        <f>T32*(1+U$4)*(1+SUPUESTOS!$D$6)</f>
        <v>308798.43946818734</v>
      </c>
    </row>
    <row r="33" spans="2:21" ht="13.5" customHeight="1" outlineLevel="1">
      <c r="B33" s="35" t="s">
        <v>39</v>
      </c>
      <c r="D33" s="19">
        <v>10000</v>
      </c>
      <c r="E33" s="19">
        <f t="shared" ref="E33:O33" si="8">D33</f>
        <v>10000</v>
      </c>
      <c r="F33" s="19">
        <f t="shared" si="8"/>
        <v>10000</v>
      </c>
      <c r="G33" s="19">
        <f t="shared" si="8"/>
        <v>10000</v>
      </c>
      <c r="H33" s="19">
        <f t="shared" si="8"/>
        <v>10000</v>
      </c>
      <c r="I33" s="19">
        <f t="shared" si="8"/>
        <v>10000</v>
      </c>
      <c r="J33" s="19">
        <f t="shared" si="8"/>
        <v>10000</v>
      </c>
      <c r="K33" s="19">
        <f t="shared" si="8"/>
        <v>10000</v>
      </c>
      <c r="L33" s="19">
        <f t="shared" si="8"/>
        <v>10000</v>
      </c>
      <c r="M33" s="19">
        <f t="shared" si="8"/>
        <v>10000</v>
      </c>
      <c r="N33" s="19">
        <f t="shared" si="8"/>
        <v>10000</v>
      </c>
      <c r="O33" s="19">
        <f t="shared" si="8"/>
        <v>10000</v>
      </c>
      <c r="P33" s="24"/>
      <c r="Q33" s="19">
        <f t="shared" si="6"/>
        <v>120000</v>
      </c>
      <c r="R33" s="19">
        <f>Q33*(1+R$4)*(1+SUPUESTOS!$D$6)</f>
        <v>161460</v>
      </c>
      <c r="S33" s="19">
        <f>R33*(1+S$4)*(1+SUPUESTOS!$D$6)</f>
        <v>208888.87499999997</v>
      </c>
      <c r="T33" s="19">
        <f>S33*(1+T$4)*(1+SUPUESTOS!$D$6)</f>
        <v>259439.98274999994</v>
      </c>
      <c r="U33" s="19">
        <f>T33*(1+U$4)*(1+SUPUESTOS!$D$6)</f>
        <v>308798.43946818734</v>
      </c>
    </row>
    <row r="34" spans="2:21" ht="13.5" customHeight="1" outlineLevel="1">
      <c r="B34" s="35" t="s">
        <v>40</v>
      </c>
      <c r="D34" s="19">
        <v>12000</v>
      </c>
      <c r="E34" s="19">
        <f t="shared" ref="E34:O34" si="9">D34</f>
        <v>12000</v>
      </c>
      <c r="F34" s="19">
        <f t="shared" si="9"/>
        <v>12000</v>
      </c>
      <c r="G34" s="19">
        <f t="shared" si="9"/>
        <v>12000</v>
      </c>
      <c r="H34" s="19">
        <f t="shared" si="9"/>
        <v>12000</v>
      </c>
      <c r="I34" s="19">
        <f t="shared" si="9"/>
        <v>12000</v>
      </c>
      <c r="J34" s="19">
        <f t="shared" si="9"/>
        <v>12000</v>
      </c>
      <c r="K34" s="19">
        <f t="shared" si="9"/>
        <v>12000</v>
      </c>
      <c r="L34" s="19">
        <f t="shared" si="9"/>
        <v>12000</v>
      </c>
      <c r="M34" s="19">
        <f t="shared" si="9"/>
        <v>12000</v>
      </c>
      <c r="N34" s="19">
        <f t="shared" si="9"/>
        <v>12000</v>
      </c>
      <c r="O34" s="19">
        <f t="shared" si="9"/>
        <v>12000</v>
      </c>
      <c r="P34" s="24"/>
      <c r="Q34" s="19">
        <f t="shared" si="6"/>
        <v>144000</v>
      </c>
      <c r="R34" s="19">
        <f>Q34*(1+R$4)*(1+SUPUESTOS!$D$6)</f>
        <v>193751.99999999997</v>
      </c>
      <c r="S34" s="19">
        <f>R34*(1+S$4)*(1+SUPUESTOS!$D$6)</f>
        <v>250666.64999999994</v>
      </c>
      <c r="T34" s="19">
        <f>S34*(1+T$4)*(1+SUPUESTOS!$D$6)</f>
        <v>311327.97929999989</v>
      </c>
      <c r="U34" s="19">
        <f>T34*(1+U$4)*(1+SUPUESTOS!$D$6)</f>
        <v>370558.12736182479</v>
      </c>
    </row>
    <row r="35" spans="2:21" ht="13.5" customHeight="1" outlineLevel="1">
      <c r="B35" s="36" t="s">
        <v>41</v>
      </c>
      <c r="D35" s="19">
        <v>15000</v>
      </c>
      <c r="E35" s="19">
        <f t="shared" ref="E35:O35" si="10">D35</f>
        <v>15000</v>
      </c>
      <c r="F35" s="19">
        <f t="shared" si="10"/>
        <v>15000</v>
      </c>
      <c r="G35" s="19">
        <f t="shared" si="10"/>
        <v>15000</v>
      </c>
      <c r="H35" s="19">
        <f t="shared" si="10"/>
        <v>15000</v>
      </c>
      <c r="I35" s="19">
        <f t="shared" si="10"/>
        <v>15000</v>
      </c>
      <c r="J35" s="19">
        <f t="shared" si="10"/>
        <v>15000</v>
      </c>
      <c r="K35" s="19">
        <f t="shared" si="10"/>
        <v>15000</v>
      </c>
      <c r="L35" s="19">
        <f t="shared" si="10"/>
        <v>15000</v>
      </c>
      <c r="M35" s="19">
        <f t="shared" si="10"/>
        <v>15000</v>
      </c>
      <c r="N35" s="19">
        <f t="shared" si="10"/>
        <v>15000</v>
      </c>
      <c r="O35" s="19">
        <f t="shared" si="10"/>
        <v>15000</v>
      </c>
      <c r="P35" s="24"/>
      <c r="Q35" s="19">
        <f t="shared" si="6"/>
        <v>180000</v>
      </c>
      <c r="R35" s="19">
        <f>Q35*(1+R$4)*(1+SUPUESTOS!$D$6)</f>
        <v>242189.99999999997</v>
      </c>
      <c r="S35" s="19">
        <f>R35*(1+S$4)*(1+SUPUESTOS!$D$6)</f>
        <v>313333.31249999994</v>
      </c>
      <c r="T35" s="19">
        <f>S35*(1+T$4)*(1+SUPUESTOS!$D$6)</f>
        <v>389159.97412499989</v>
      </c>
      <c r="U35" s="19">
        <f>T35*(1+U$4)*(1+SUPUESTOS!$D$6)</f>
        <v>463197.65920228104</v>
      </c>
    </row>
    <row r="36" spans="2:21" ht="13.5" customHeight="1" outlineLevel="1">
      <c r="B36" s="38" t="s">
        <v>42</v>
      </c>
      <c r="D36" s="19"/>
      <c r="E36" s="19">
        <v>3500</v>
      </c>
      <c r="F36" s="19"/>
      <c r="G36" s="19">
        <v>3500</v>
      </c>
      <c r="H36" s="19"/>
      <c r="I36" s="19">
        <v>3500</v>
      </c>
      <c r="J36" s="19"/>
      <c r="K36" s="19">
        <v>3500</v>
      </c>
      <c r="L36" s="19"/>
      <c r="M36" s="19">
        <v>3500</v>
      </c>
      <c r="N36" s="19"/>
      <c r="O36" s="19">
        <v>3500</v>
      </c>
      <c r="P36" s="24"/>
      <c r="Q36" s="19">
        <f t="shared" si="6"/>
        <v>21000</v>
      </c>
      <c r="R36" s="19">
        <f>Q36*(1+R$4)*(1+SUPUESTOS!$D$6)</f>
        <v>28255.499999999996</v>
      </c>
      <c r="S36" s="19">
        <f>R36*(1+S$4)*(1+SUPUESTOS!$D$6)</f>
        <v>36555.553124999991</v>
      </c>
      <c r="T36" s="19">
        <f>S36*(1+T$4)*(1+SUPUESTOS!$D$6)</f>
        <v>45401.996981249984</v>
      </c>
      <c r="U36" s="19">
        <f>T36*(1+U$4)*(1+SUPUESTOS!$D$6)</f>
        <v>54039.726906932789</v>
      </c>
    </row>
    <row r="37" spans="2:21" ht="4.5" customHeight="1" outlineLevel="1"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</row>
    <row r="38" spans="2:21" ht="13.5" customHeight="1">
      <c r="B38" s="15" t="s">
        <v>43</v>
      </c>
      <c r="C38" s="16"/>
      <c r="D38" s="21">
        <f t="shared" ref="D38:O38" si="11">SUM(D23:D37)</f>
        <v>47000</v>
      </c>
      <c r="E38" s="21">
        <f t="shared" si="11"/>
        <v>54797.025000000001</v>
      </c>
      <c r="F38" s="21">
        <f t="shared" si="11"/>
        <v>51297.025000000001</v>
      </c>
      <c r="G38" s="21">
        <f t="shared" si="11"/>
        <v>54797.025000000001</v>
      </c>
      <c r="H38" s="21">
        <f t="shared" si="11"/>
        <v>55594.05</v>
      </c>
      <c r="I38" s="21">
        <f t="shared" si="11"/>
        <v>63391.074999999997</v>
      </c>
      <c r="J38" s="21">
        <f t="shared" si="11"/>
        <v>59891.074999999997</v>
      </c>
      <c r="K38" s="21">
        <f t="shared" si="11"/>
        <v>71985.125</v>
      </c>
      <c r="L38" s="21">
        <f t="shared" si="11"/>
        <v>72782.149999999994</v>
      </c>
      <c r="M38" s="21">
        <f t="shared" si="11"/>
        <v>76282.149999999994</v>
      </c>
      <c r="N38" s="21">
        <f t="shared" si="11"/>
        <v>81376.2</v>
      </c>
      <c r="O38" s="21">
        <f t="shared" si="11"/>
        <v>76282.149999999994</v>
      </c>
      <c r="P38" s="20"/>
      <c r="Q38" s="21">
        <f>SUM(Q23:Q37)</f>
        <v>765475.05</v>
      </c>
      <c r="R38" s="21">
        <f>SUM(R23:R37)</f>
        <v>1029946.679775</v>
      </c>
      <c r="S38" s="21">
        <f>SUM(S23:S37)</f>
        <v>1332493.5169589061</v>
      </c>
      <c r="T38" s="21">
        <f>SUM(T23:T37)</f>
        <v>1654956.948062961</v>
      </c>
      <c r="U38" s="21">
        <f>SUM(U23:U37)</f>
        <v>1969812.5074319392</v>
      </c>
    </row>
    <row r="39" spans="2:21" s="28" customFormat="1" ht="13.5" customHeight="1">
      <c r="B39" s="29" t="s">
        <v>44</v>
      </c>
      <c r="C39" s="30"/>
      <c r="D39" s="32" t="str">
        <f>IFERROR(D38/D18,"")</f>
        <v/>
      </c>
      <c r="E39" s="32">
        <f t="shared" ref="E39:O39" si="12">E38/E18</f>
        <v>0.59240027027027031</v>
      </c>
      <c r="F39" s="32">
        <f t="shared" si="12"/>
        <v>0.55456243243243242</v>
      </c>
      <c r="G39" s="32">
        <f t="shared" si="12"/>
        <v>0.59240027027027031</v>
      </c>
      <c r="H39" s="32">
        <f t="shared" si="12"/>
        <v>0.3005083783783784</v>
      </c>
      <c r="I39" s="32">
        <f t="shared" si="12"/>
        <v>0.22843630630630629</v>
      </c>
      <c r="J39" s="32">
        <f t="shared" si="12"/>
        <v>0.2158236936936937</v>
      </c>
      <c r="K39" s="32">
        <f t="shared" si="12"/>
        <v>0.15564351351351352</v>
      </c>
      <c r="L39" s="32">
        <f t="shared" si="12"/>
        <v>0.13113900900900899</v>
      </c>
      <c r="M39" s="32">
        <f t="shared" si="12"/>
        <v>0.13744531531531531</v>
      </c>
      <c r="N39" s="32">
        <f t="shared" si="12"/>
        <v>0.10996783783783784</v>
      </c>
      <c r="O39" s="32">
        <f t="shared" si="12"/>
        <v>0.13744531531531531</v>
      </c>
      <c r="P39" s="29"/>
      <c r="Q39" s="32">
        <f>Q38/Q18</f>
        <v>0.19703347490347492</v>
      </c>
      <c r="R39" s="32">
        <f>R38/R18</f>
        <v>0.20373561260832668</v>
      </c>
      <c r="S39" s="32">
        <f>S38/S18</f>
        <v>0.21086635904961809</v>
      </c>
      <c r="T39" s="32">
        <f>T38/T18</f>
        <v>0.21824668161635469</v>
      </c>
      <c r="U39" s="32">
        <f>U38/U18</f>
        <v>0.22588531547292709</v>
      </c>
    </row>
    <row r="40" spans="2:21" ht="13.5" customHeight="1"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2:21" s="8" customFormat="1" ht="13.5" customHeight="1">
      <c r="B41" s="25" t="s">
        <v>45</v>
      </c>
      <c r="C41" s="16"/>
      <c r="D41" s="26">
        <f t="shared" ref="D41:O41" si="13">D18-D38</f>
        <v>-47000</v>
      </c>
      <c r="E41" s="26">
        <f t="shared" si="13"/>
        <v>37702.974999999999</v>
      </c>
      <c r="F41" s="26">
        <f t="shared" si="13"/>
        <v>41202.974999999999</v>
      </c>
      <c r="G41" s="26">
        <f t="shared" si="13"/>
        <v>37702.974999999999</v>
      </c>
      <c r="H41" s="26">
        <f t="shared" si="13"/>
        <v>129405.95</v>
      </c>
      <c r="I41" s="26">
        <f t="shared" si="13"/>
        <v>214108.92499999999</v>
      </c>
      <c r="J41" s="26">
        <f t="shared" si="13"/>
        <v>217608.92499999999</v>
      </c>
      <c r="K41" s="26">
        <f t="shared" si="13"/>
        <v>390514.875</v>
      </c>
      <c r="L41" s="26">
        <f t="shared" si="13"/>
        <v>482217.85</v>
      </c>
      <c r="M41" s="26">
        <f t="shared" si="13"/>
        <v>478717.85</v>
      </c>
      <c r="N41" s="26">
        <f t="shared" si="13"/>
        <v>658623.80000000005</v>
      </c>
      <c r="O41" s="26">
        <f t="shared" si="13"/>
        <v>478717.85</v>
      </c>
      <c r="P41" s="27"/>
      <c r="Q41" s="26">
        <f>Q18-Q38</f>
        <v>3119524.95</v>
      </c>
      <c r="R41" s="26">
        <f>R18-R38</f>
        <v>4025363.3202249999</v>
      </c>
      <c r="S41" s="26">
        <f>S18-S38</f>
        <v>4986643.9830410937</v>
      </c>
      <c r="T41" s="26">
        <f>T18-T38</f>
        <v>5928008.051937039</v>
      </c>
      <c r="U41" s="26">
        <f>U18-U38</f>
        <v>6750597.2425680608</v>
      </c>
    </row>
    <row r="42" spans="2:21" s="28" customFormat="1" ht="13.5" customHeight="1">
      <c r="B42" s="29" t="s">
        <v>44</v>
      </c>
      <c r="C42" s="30"/>
      <c r="D42" s="32" t="str">
        <f>IFERROR(D41/D18,"")</f>
        <v/>
      </c>
      <c r="E42" s="32">
        <f t="shared" ref="E42:O42" si="14">E41/E18</f>
        <v>0.40759972972972969</v>
      </c>
      <c r="F42" s="32">
        <f t="shared" si="14"/>
        <v>0.44543756756756753</v>
      </c>
      <c r="G42" s="32">
        <f t="shared" si="14"/>
        <v>0.40759972972972969</v>
      </c>
      <c r="H42" s="32">
        <f t="shared" si="14"/>
        <v>0.6994916216216216</v>
      </c>
      <c r="I42" s="32">
        <f t="shared" si="14"/>
        <v>0.7715636936936936</v>
      </c>
      <c r="J42" s="32">
        <f t="shared" si="14"/>
        <v>0.7841763063063063</v>
      </c>
      <c r="K42" s="32">
        <f t="shared" si="14"/>
        <v>0.84435648648648653</v>
      </c>
      <c r="L42" s="32">
        <f t="shared" si="14"/>
        <v>0.8688609909909909</v>
      </c>
      <c r="M42" s="32">
        <f t="shared" si="14"/>
        <v>0.86255468468468466</v>
      </c>
      <c r="N42" s="32">
        <f t="shared" si="14"/>
        <v>0.89003216216216219</v>
      </c>
      <c r="O42" s="32">
        <f t="shared" si="14"/>
        <v>0.86255468468468466</v>
      </c>
      <c r="P42" s="29"/>
      <c r="Q42" s="32">
        <f>Q41/Q18</f>
        <v>0.80296652509652511</v>
      </c>
      <c r="R42" s="32">
        <f>R41/R18</f>
        <v>0.79626438739167327</v>
      </c>
      <c r="S42" s="32">
        <f>S41/S18</f>
        <v>0.78913364095038185</v>
      </c>
      <c r="T42" s="32">
        <f>T41/T18</f>
        <v>0.78175331838364537</v>
      </c>
      <c r="U42" s="32">
        <f>U41/U18</f>
        <v>0.77411468452707288</v>
      </c>
    </row>
    <row r="43" spans="2:21" ht="13.5" customHeight="1"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2:21" ht="27.75" customHeight="1">
      <c r="B44" s="33" t="s">
        <v>46</v>
      </c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2:21" ht="6" customHeight="1"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2:21" ht="13.5" customHeight="1">
      <c r="B46" s="4" t="s">
        <v>47</v>
      </c>
      <c r="D46" s="19">
        <f>Gastos!C11</f>
        <v>125000</v>
      </c>
      <c r="E46" s="19">
        <f t="shared" ref="E46:O46" si="15">D46</f>
        <v>125000</v>
      </c>
      <c r="F46" s="19">
        <f t="shared" si="15"/>
        <v>125000</v>
      </c>
      <c r="G46" s="19">
        <f t="shared" si="15"/>
        <v>125000</v>
      </c>
      <c r="H46" s="19">
        <f t="shared" si="15"/>
        <v>125000</v>
      </c>
      <c r="I46" s="19">
        <f t="shared" si="15"/>
        <v>125000</v>
      </c>
      <c r="J46" s="19">
        <f t="shared" si="15"/>
        <v>125000</v>
      </c>
      <c r="K46" s="19">
        <f t="shared" si="15"/>
        <v>125000</v>
      </c>
      <c r="L46" s="19">
        <f t="shared" si="15"/>
        <v>125000</v>
      </c>
      <c r="M46" s="19">
        <f t="shared" si="15"/>
        <v>125000</v>
      </c>
      <c r="N46" s="19">
        <f t="shared" si="15"/>
        <v>125000</v>
      </c>
      <c r="O46" s="19">
        <f t="shared" si="15"/>
        <v>125000</v>
      </c>
      <c r="P46" s="24"/>
      <c r="Q46" s="19">
        <f>SUM(D46:O46)</f>
        <v>1500000</v>
      </c>
      <c r="R46" s="19">
        <f>Q46*(1+SUPUESTOS!$D$6)</f>
        <v>1552499.9999999998</v>
      </c>
      <c r="S46" s="19">
        <f>(Gastos!D11*12)*(1+SUPUESTOS!$D$6)</f>
        <v>3974399.9999999995</v>
      </c>
      <c r="T46" s="19">
        <f>S46*(1+SUPUESTOS!$D$6)</f>
        <v>4113503.9999999991</v>
      </c>
      <c r="U46" s="19">
        <f>T46*(1+SUPUESTOS!$D$6)</f>
        <v>4257476.6399999987</v>
      </c>
    </row>
    <row r="47" spans="2:21" ht="13.5" customHeight="1"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2:21" ht="12.75" customHeight="1">
      <c r="B48" s="4" t="s">
        <v>48</v>
      </c>
      <c r="D48" s="19">
        <f>Gastos!C21</f>
        <v>34400</v>
      </c>
      <c r="E48" s="19">
        <f t="shared" ref="E48:O48" si="16">D48</f>
        <v>34400</v>
      </c>
      <c r="F48" s="19">
        <f t="shared" si="16"/>
        <v>34400</v>
      </c>
      <c r="G48" s="19">
        <f t="shared" si="16"/>
        <v>34400</v>
      </c>
      <c r="H48" s="19">
        <f t="shared" si="16"/>
        <v>34400</v>
      </c>
      <c r="I48" s="19">
        <f t="shared" si="16"/>
        <v>34400</v>
      </c>
      <c r="J48" s="19">
        <f t="shared" si="16"/>
        <v>34400</v>
      </c>
      <c r="K48" s="19">
        <f t="shared" si="16"/>
        <v>34400</v>
      </c>
      <c r="L48" s="19">
        <f t="shared" si="16"/>
        <v>34400</v>
      </c>
      <c r="M48" s="19">
        <f t="shared" si="16"/>
        <v>34400</v>
      </c>
      <c r="N48" s="19">
        <f t="shared" si="16"/>
        <v>34400</v>
      </c>
      <c r="O48" s="19">
        <f t="shared" si="16"/>
        <v>34400</v>
      </c>
      <c r="P48" s="24"/>
      <c r="Q48" s="19">
        <f>SUM(D48:O48)</f>
        <v>412800</v>
      </c>
      <c r="R48" s="19">
        <f>Q48*(1+SUPUESTOS!$D$6)</f>
        <v>427247.99999999994</v>
      </c>
      <c r="S48" s="19">
        <f>(Gastos!D21*12)*(1+SUPUESTOS!$D$6)</f>
        <v>731538</v>
      </c>
      <c r="T48" s="19">
        <f>S48*(1+SUPUESTOS!$D$6)</f>
        <v>757141.83</v>
      </c>
      <c r="U48" s="19">
        <f>T48*(1+SUPUESTOS!$D$6)</f>
        <v>783641.79404999991</v>
      </c>
    </row>
    <row r="49" spans="2:21" ht="13.5" customHeight="1"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2:21" ht="12.75" customHeight="1">
      <c r="B50" s="4" t="s">
        <v>49</v>
      </c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2:21" ht="13.5" customHeight="1">
      <c r="B51" s="4" t="s">
        <v>50</v>
      </c>
      <c r="D51" s="19">
        <f>Gastos!$C$29*'Presupuesto Anual'!D11</f>
        <v>0</v>
      </c>
      <c r="E51" s="19">
        <f>Gastos!$C$29*'Presupuesto Anual'!E11</f>
        <v>87.5</v>
      </c>
      <c r="F51" s="19">
        <f>Gastos!$C$29*'Presupuesto Anual'!F11</f>
        <v>87.5</v>
      </c>
      <c r="G51" s="19">
        <f>Gastos!$C$29*'Presupuesto Anual'!G11</f>
        <v>87.5</v>
      </c>
      <c r="H51" s="19">
        <f>Gastos!$C$29*'Presupuesto Anual'!H11</f>
        <v>175</v>
      </c>
      <c r="I51" s="19">
        <f>Gastos!$C$29*'Presupuesto Anual'!I11</f>
        <v>262.5</v>
      </c>
      <c r="J51" s="19">
        <f>Gastos!$C$29*'Presupuesto Anual'!J11</f>
        <v>262.5</v>
      </c>
      <c r="K51" s="19">
        <f>Gastos!$C$29*'Presupuesto Anual'!K11</f>
        <v>437.5</v>
      </c>
      <c r="L51" s="19">
        <f>Gastos!$C$29*'Presupuesto Anual'!L11</f>
        <v>525</v>
      </c>
      <c r="M51" s="19">
        <f>Gastos!$C$29*'Presupuesto Anual'!M11</f>
        <v>525</v>
      </c>
      <c r="N51" s="19">
        <f>Gastos!$C$29*'Presupuesto Anual'!N11</f>
        <v>700</v>
      </c>
      <c r="O51" s="19">
        <f>Gastos!$C$29*'Presupuesto Anual'!O11</f>
        <v>525</v>
      </c>
      <c r="P51" s="24"/>
      <c r="Q51" s="19">
        <f>SUM(D51:O51)</f>
        <v>3675</v>
      </c>
      <c r="R51" s="19">
        <f>Q51*(1+SUPUESTOS!$D$6)</f>
        <v>3803.6249999999995</v>
      </c>
      <c r="S51" s="19">
        <f>R51*(1+SUPUESTOS!$D$6)</f>
        <v>3936.751874999999</v>
      </c>
      <c r="T51" s="19">
        <f>S51*(1+SUPUESTOS!$D$6)</f>
        <v>4074.5381906249986</v>
      </c>
      <c r="U51" s="19">
        <f>T51*(1+SUPUESTOS!$D$6)</f>
        <v>4217.1470272968736</v>
      </c>
    </row>
    <row r="52" spans="2:21" ht="13.5" customHeight="1">
      <c r="B52" s="4" t="s">
        <v>51</v>
      </c>
      <c r="D52" s="19">
        <f>Gastos!$C$32*'Presupuesto Anual'!D11</f>
        <v>0</v>
      </c>
      <c r="E52" s="19">
        <f>Gastos!$C$32*'Presupuesto Anual'!E11</f>
        <v>300</v>
      </c>
      <c r="F52" s="19">
        <f>Gastos!$C$32*'Presupuesto Anual'!F11</f>
        <v>300</v>
      </c>
      <c r="G52" s="19">
        <f>Gastos!$C$32*'Presupuesto Anual'!G11</f>
        <v>300</v>
      </c>
      <c r="H52" s="19">
        <f>Gastos!$C$32*'Presupuesto Anual'!H11</f>
        <v>600</v>
      </c>
      <c r="I52" s="19">
        <f>Gastos!$C$32*'Presupuesto Anual'!I11</f>
        <v>900</v>
      </c>
      <c r="J52" s="19">
        <f>Gastos!$C$32*'Presupuesto Anual'!J11</f>
        <v>900</v>
      </c>
      <c r="K52" s="19">
        <f>Gastos!$C$32*'Presupuesto Anual'!K11</f>
        <v>1500</v>
      </c>
      <c r="L52" s="19">
        <f>Gastos!$C$32*'Presupuesto Anual'!L11</f>
        <v>1800</v>
      </c>
      <c r="M52" s="19">
        <f>Gastos!$C$32*'Presupuesto Anual'!M11</f>
        <v>1800</v>
      </c>
      <c r="N52" s="19">
        <f>Gastos!$C$32*'Presupuesto Anual'!N11</f>
        <v>2400</v>
      </c>
      <c r="O52" s="19">
        <f>Gastos!$C$32*'Presupuesto Anual'!O11</f>
        <v>1800</v>
      </c>
      <c r="P52" s="24"/>
      <c r="Q52" s="19">
        <f>SUM(D52:O52)</f>
        <v>12600</v>
      </c>
      <c r="R52" s="19">
        <f>Q52*(1+SUPUESTOS!$D$6)</f>
        <v>13040.999999999998</v>
      </c>
      <c r="S52" s="19">
        <f>R52*(1+SUPUESTOS!$D$6)</f>
        <v>13497.434999999998</v>
      </c>
      <c r="T52" s="19">
        <f>S52*(1+SUPUESTOS!$D$6)</f>
        <v>13969.845224999997</v>
      </c>
      <c r="U52" s="19">
        <f>T52*(1+SUPUESTOS!$D$6)</f>
        <v>14458.789807874997</v>
      </c>
    </row>
    <row r="53" spans="2:21" ht="13.5" customHeight="1">
      <c r="B53" s="4" t="s">
        <v>52</v>
      </c>
      <c r="D53" s="19">
        <f>Gastos!C26</f>
        <v>25000</v>
      </c>
      <c r="E53" s="19">
        <f t="shared" ref="E53:O53" si="17">D53</f>
        <v>25000</v>
      </c>
      <c r="F53" s="19">
        <f t="shared" si="17"/>
        <v>25000</v>
      </c>
      <c r="G53" s="19">
        <f t="shared" si="17"/>
        <v>25000</v>
      </c>
      <c r="H53" s="19">
        <f t="shared" si="17"/>
        <v>25000</v>
      </c>
      <c r="I53" s="19">
        <f t="shared" si="17"/>
        <v>25000</v>
      </c>
      <c r="J53" s="19">
        <f t="shared" si="17"/>
        <v>25000</v>
      </c>
      <c r="K53" s="19">
        <f t="shared" si="17"/>
        <v>25000</v>
      </c>
      <c r="L53" s="19">
        <f t="shared" si="17"/>
        <v>25000</v>
      </c>
      <c r="M53" s="19">
        <f t="shared" si="17"/>
        <v>25000</v>
      </c>
      <c r="N53" s="19">
        <f t="shared" si="17"/>
        <v>25000</v>
      </c>
      <c r="O53" s="19">
        <f t="shared" si="17"/>
        <v>25000</v>
      </c>
      <c r="P53" s="24"/>
      <c r="Q53" s="19">
        <f>SUM(D53:O53)</f>
        <v>300000</v>
      </c>
      <c r="R53" s="19">
        <f>Q53*(1+SUPUESTOS!$D$6)</f>
        <v>310500</v>
      </c>
      <c r="S53" s="19">
        <f>R53*(1+SUPUESTOS!$D$6)</f>
        <v>321367.5</v>
      </c>
      <c r="T53" s="19">
        <f>S53*(1+SUPUESTOS!$D$6)</f>
        <v>332615.36249999999</v>
      </c>
      <c r="U53" s="19">
        <f>T53*(1+SUPUESTOS!$D$6)</f>
        <v>344256.90018749994</v>
      </c>
    </row>
    <row r="54" spans="2:21" ht="4.5" customHeight="1"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</row>
    <row r="55" spans="2:21" ht="13.5" customHeight="1">
      <c r="B55" s="15" t="s">
        <v>53</v>
      </c>
      <c r="C55" s="16"/>
      <c r="D55" s="21">
        <f t="shared" ref="D55:O55" si="18">SUM(D46:D54)</f>
        <v>184400</v>
      </c>
      <c r="E55" s="21">
        <f t="shared" si="18"/>
        <v>184787.5</v>
      </c>
      <c r="F55" s="21">
        <f t="shared" si="18"/>
        <v>184787.5</v>
      </c>
      <c r="G55" s="21">
        <f t="shared" si="18"/>
        <v>184787.5</v>
      </c>
      <c r="H55" s="21">
        <f t="shared" si="18"/>
        <v>185175</v>
      </c>
      <c r="I55" s="21">
        <f t="shared" si="18"/>
        <v>185562.5</v>
      </c>
      <c r="J55" s="21">
        <f t="shared" si="18"/>
        <v>185562.5</v>
      </c>
      <c r="K55" s="21">
        <f t="shared" si="18"/>
        <v>186337.5</v>
      </c>
      <c r="L55" s="21">
        <f t="shared" si="18"/>
        <v>186725</v>
      </c>
      <c r="M55" s="21">
        <f t="shared" si="18"/>
        <v>186725</v>
      </c>
      <c r="N55" s="21">
        <f t="shared" si="18"/>
        <v>187500</v>
      </c>
      <c r="O55" s="21">
        <f t="shared" si="18"/>
        <v>186725</v>
      </c>
      <c r="P55" s="20"/>
      <c r="Q55" s="21">
        <f>SUM(Q46:Q54)</f>
        <v>2229075</v>
      </c>
      <c r="R55" s="21">
        <f>SUM(R46:R54)</f>
        <v>2307092.625</v>
      </c>
      <c r="S55" s="21">
        <f>SUM(S46:S54)</f>
        <v>5044739.6868749997</v>
      </c>
      <c r="T55" s="21">
        <f>SUM(T46:T54)</f>
        <v>5221305.5759156235</v>
      </c>
      <c r="U55" s="21">
        <f>SUM(U46:U54)</f>
        <v>5404051.2710726699</v>
      </c>
    </row>
    <row r="56" spans="2:21" s="28" customFormat="1" ht="13.5" customHeight="1">
      <c r="B56" s="29" t="s">
        <v>44</v>
      </c>
      <c r="C56" s="30"/>
      <c r="D56" s="32" t="str">
        <f>IFERROR(D55/D18,"")</f>
        <v/>
      </c>
      <c r="E56" s="32">
        <f t="shared" ref="E56:O56" si="19">E55/E18</f>
        <v>1.9977027027027028</v>
      </c>
      <c r="F56" s="32">
        <f t="shared" si="19"/>
        <v>1.9977027027027028</v>
      </c>
      <c r="G56" s="32">
        <f t="shared" si="19"/>
        <v>1.9977027027027028</v>
      </c>
      <c r="H56" s="32">
        <f t="shared" si="19"/>
        <v>1.000945945945946</v>
      </c>
      <c r="I56" s="32">
        <f t="shared" si="19"/>
        <v>0.66869369369369369</v>
      </c>
      <c r="J56" s="32">
        <f t="shared" si="19"/>
        <v>0.66869369369369369</v>
      </c>
      <c r="K56" s="32">
        <f t="shared" si="19"/>
        <v>0.4028918918918919</v>
      </c>
      <c r="L56" s="32">
        <f t="shared" si="19"/>
        <v>0.33644144144144145</v>
      </c>
      <c r="M56" s="32">
        <f t="shared" si="19"/>
        <v>0.33644144144144145</v>
      </c>
      <c r="N56" s="32">
        <f t="shared" si="19"/>
        <v>0.2533783783783784</v>
      </c>
      <c r="O56" s="32">
        <f t="shared" si="19"/>
        <v>0.33644144144144145</v>
      </c>
      <c r="P56" s="29"/>
      <c r="Q56" s="32">
        <f>Q55/Q18</f>
        <v>0.57376447876447878</v>
      </c>
      <c r="R56" s="32">
        <f>R55/R18</f>
        <v>0.45637015830878819</v>
      </c>
      <c r="S56" s="32">
        <f>S55/S18</f>
        <v>0.79832725381826231</v>
      </c>
      <c r="T56" s="32">
        <f>T55/T18</f>
        <v>0.68855725641825105</v>
      </c>
      <c r="U56" s="32">
        <f>U55/U18</f>
        <v>0.61970153077642598</v>
      </c>
    </row>
    <row r="57" spans="2:21" ht="13.5" customHeight="1"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2:21" ht="13.5" customHeight="1" outlineLevel="1">
      <c r="B58" s="4" t="s">
        <v>54</v>
      </c>
      <c r="D58" s="19">
        <f>Gastos!H37</f>
        <v>1166.6666666666667</v>
      </c>
      <c r="E58" s="19">
        <f t="shared" ref="E58:O58" si="20">D58</f>
        <v>1166.6666666666667</v>
      </c>
      <c r="F58" s="19">
        <f t="shared" si="20"/>
        <v>1166.6666666666667</v>
      </c>
      <c r="G58" s="19">
        <f t="shared" si="20"/>
        <v>1166.6666666666667</v>
      </c>
      <c r="H58" s="19">
        <f t="shared" si="20"/>
        <v>1166.6666666666667</v>
      </c>
      <c r="I58" s="19">
        <f t="shared" si="20"/>
        <v>1166.6666666666667</v>
      </c>
      <c r="J58" s="19">
        <f t="shared" si="20"/>
        <v>1166.6666666666667</v>
      </c>
      <c r="K58" s="19">
        <f t="shared" si="20"/>
        <v>1166.6666666666667</v>
      </c>
      <c r="L58" s="19">
        <f t="shared" si="20"/>
        <v>1166.6666666666667</v>
      </c>
      <c r="M58" s="19">
        <f t="shared" si="20"/>
        <v>1166.6666666666667</v>
      </c>
      <c r="N58" s="19">
        <f t="shared" si="20"/>
        <v>1166.6666666666667</v>
      </c>
      <c r="O58" s="19">
        <f t="shared" si="20"/>
        <v>1166.6666666666667</v>
      </c>
      <c r="P58" s="24"/>
      <c r="Q58" s="19">
        <f>SUM(D58:O58)</f>
        <v>13999.999999999998</v>
      </c>
      <c r="R58" s="19">
        <f>Gastos!$F$37</f>
        <v>14000</v>
      </c>
      <c r="S58" s="19">
        <f t="shared" ref="S58:U60" si="21">R58</f>
        <v>14000</v>
      </c>
      <c r="T58" s="19">
        <f t="shared" si="21"/>
        <v>14000</v>
      </c>
      <c r="U58" s="19">
        <f t="shared" si="21"/>
        <v>14000</v>
      </c>
    </row>
    <row r="59" spans="2:21" ht="13.5" customHeight="1" outlineLevel="1">
      <c r="B59" s="4" t="s">
        <v>55</v>
      </c>
      <c r="D59" s="19">
        <v>0</v>
      </c>
      <c r="E59" s="19">
        <f>D59</f>
        <v>0</v>
      </c>
      <c r="F59" s="19">
        <f>E59</f>
        <v>0</v>
      </c>
      <c r="G59" s="19">
        <f>F59</f>
        <v>0</v>
      </c>
      <c r="H59" s="19">
        <f>Gastos!H38</f>
        <v>1166.6666666666667</v>
      </c>
      <c r="I59" s="19">
        <f t="shared" ref="I59:O60" si="22">H59</f>
        <v>1166.6666666666667</v>
      </c>
      <c r="J59" s="19">
        <f t="shared" si="22"/>
        <v>1166.6666666666667</v>
      </c>
      <c r="K59" s="19">
        <f t="shared" si="22"/>
        <v>1166.6666666666667</v>
      </c>
      <c r="L59" s="19">
        <f t="shared" si="22"/>
        <v>1166.6666666666667</v>
      </c>
      <c r="M59" s="19">
        <f t="shared" si="22"/>
        <v>1166.6666666666667</v>
      </c>
      <c r="N59" s="19">
        <f t="shared" si="22"/>
        <v>1166.6666666666667</v>
      </c>
      <c r="O59" s="19">
        <f t="shared" si="22"/>
        <v>1166.6666666666667</v>
      </c>
      <c r="P59" s="24"/>
      <c r="Q59" s="19">
        <f>SUM(D59:O59)</f>
        <v>9333.3333333333339</v>
      </c>
      <c r="R59" s="19">
        <f>Gastos!$F$38</f>
        <v>14000</v>
      </c>
      <c r="S59" s="19">
        <f t="shared" si="21"/>
        <v>14000</v>
      </c>
      <c r="T59" s="19">
        <f t="shared" si="21"/>
        <v>14000</v>
      </c>
      <c r="U59" s="19">
        <f t="shared" si="21"/>
        <v>14000</v>
      </c>
    </row>
    <row r="60" spans="2:21" ht="13.5" customHeight="1" outlineLevel="1">
      <c r="B60" s="4" t="s">
        <v>56</v>
      </c>
      <c r="D60" s="19">
        <v>0</v>
      </c>
      <c r="E60" s="19">
        <v>0</v>
      </c>
      <c r="F60" s="19">
        <f>E60</f>
        <v>0</v>
      </c>
      <c r="G60" s="19">
        <f>Gastos!H41</f>
        <v>1058.3333333333333</v>
      </c>
      <c r="H60" s="19">
        <f>G60</f>
        <v>1058.3333333333333</v>
      </c>
      <c r="I60" s="19">
        <f t="shared" si="22"/>
        <v>1058.3333333333333</v>
      </c>
      <c r="J60" s="19">
        <f t="shared" si="22"/>
        <v>1058.3333333333333</v>
      </c>
      <c r="K60" s="19">
        <f t="shared" si="22"/>
        <v>1058.3333333333333</v>
      </c>
      <c r="L60" s="19">
        <f t="shared" si="22"/>
        <v>1058.3333333333333</v>
      </c>
      <c r="M60" s="19">
        <f t="shared" si="22"/>
        <v>1058.3333333333333</v>
      </c>
      <c r="N60" s="19">
        <f t="shared" si="22"/>
        <v>1058.3333333333333</v>
      </c>
      <c r="O60" s="19">
        <f t="shared" si="22"/>
        <v>1058.3333333333333</v>
      </c>
      <c r="P60" s="24"/>
      <c r="Q60" s="19">
        <f>SUM(D60:O60)</f>
        <v>9525</v>
      </c>
      <c r="R60" s="19">
        <f>Gastos!$F$41</f>
        <v>12700</v>
      </c>
      <c r="S60" s="19">
        <f t="shared" si="21"/>
        <v>12700</v>
      </c>
      <c r="T60" s="19">
        <f t="shared" si="21"/>
        <v>12700</v>
      </c>
      <c r="U60" s="19">
        <f t="shared" si="21"/>
        <v>12700</v>
      </c>
    </row>
    <row r="61" spans="2:21" ht="4.5" customHeight="1" outlineLevel="1"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</row>
    <row r="62" spans="2:21" ht="13.5" customHeight="1">
      <c r="B62" s="15" t="s">
        <v>57</v>
      </c>
      <c r="C62" s="16"/>
      <c r="D62" s="21">
        <f t="shared" ref="D62:O62" si="23">SUM(D58:D61)</f>
        <v>1166.6666666666667</v>
      </c>
      <c r="E62" s="21">
        <f t="shared" si="23"/>
        <v>1166.6666666666667</v>
      </c>
      <c r="F62" s="21">
        <f t="shared" si="23"/>
        <v>1166.6666666666667</v>
      </c>
      <c r="G62" s="21">
        <f t="shared" si="23"/>
        <v>2225</v>
      </c>
      <c r="H62" s="21">
        <f t="shared" si="23"/>
        <v>3391.666666666667</v>
      </c>
      <c r="I62" s="21">
        <f t="shared" si="23"/>
        <v>3391.666666666667</v>
      </c>
      <c r="J62" s="21">
        <f t="shared" si="23"/>
        <v>3391.666666666667</v>
      </c>
      <c r="K62" s="21">
        <f t="shared" si="23"/>
        <v>3391.666666666667</v>
      </c>
      <c r="L62" s="21">
        <f t="shared" si="23"/>
        <v>3391.666666666667</v>
      </c>
      <c r="M62" s="21">
        <f t="shared" si="23"/>
        <v>3391.666666666667</v>
      </c>
      <c r="N62" s="21">
        <f t="shared" si="23"/>
        <v>3391.666666666667</v>
      </c>
      <c r="O62" s="21">
        <f t="shared" si="23"/>
        <v>3391.666666666667</v>
      </c>
      <c r="P62" s="20"/>
      <c r="Q62" s="21">
        <f>SUM(Q58:Q61)</f>
        <v>32858.333333333328</v>
      </c>
      <c r="R62" s="21">
        <f>SUM(R58:R61)</f>
        <v>40700</v>
      </c>
      <c r="S62" s="21">
        <f>SUM(S58:S61)</f>
        <v>40700</v>
      </c>
      <c r="T62" s="21">
        <f>SUM(T58:T61)</f>
        <v>40700</v>
      </c>
      <c r="U62" s="21">
        <f>SUM(U58:U61)</f>
        <v>40700</v>
      </c>
    </row>
    <row r="63" spans="2:21" ht="13.5" customHeight="1">
      <c r="B63" s="15"/>
      <c r="C63" s="16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 spans="2:21" ht="13.5" customHeight="1" outlineLevel="1">
      <c r="B64" s="4" t="s">
        <v>58</v>
      </c>
      <c r="D64" s="19">
        <f>Gastos!H45</f>
        <v>2916.6666666666665</v>
      </c>
      <c r="E64" s="19">
        <f t="shared" ref="E64:O64" si="24">D64</f>
        <v>2916.6666666666665</v>
      </c>
      <c r="F64" s="19">
        <f t="shared" si="24"/>
        <v>2916.6666666666665</v>
      </c>
      <c r="G64" s="19">
        <f t="shared" si="24"/>
        <v>2916.6666666666665</v>
      </c>
      <c r="H64" s="19">
        <f t="shared" si="24"/>
        <v>2916.6666666666665</v>
      </c>
      <c r="I64" s="19">
        <f t="shared" si="24"/>
        <v>2916.6666666666665</v>
      </c>
      <c r="J64" s="19">
        <f t="shared" si="24"/>
        <v>2916.6666666666665</v>
      </c>
      <c r="K64" s="19">
        <f t="shared" si="24"/>
        <v>2916.6666666666665</v>
      </c>
      <c r="L64" s="19">
        <f t="shared" si="24"/>
        <v>2916.6666666666665</v>
      </c>
      <c r="M64" s="19">
        <f t="shared" si="24"/>
        <v>2916.6666666666665</v>
      </c>
      <c r="N64" s="19">
        <f t="shared" si="24"/>
        <v>2916.6666666666665</v>
      </c>
      <c r="O64" s="19">
        <f t="shared" si="24"/>
        <v>2916.6666666666665</v>
      </c>
      <c r="P64" s="24"/>
      <c r="Q64" s="19">
        <f>SUM(D64:O64)</f>
        <v>35000.000000000007</v>
      </c>
      <c r="R64" s="19"/>
      <c r="S64" s="19"/>
      <c r="T64" s="19"/>
      <c r="U64" s="19"/>
    </row>
    <row r="65" spans="2:21" ht="13.5" customHeight="1" outlineLevel="1">
      <c r="B65" s="4" t="s">
        <v>59</v>
      </c>
      <c r="D65" s="19">
        <f>Gastos!H48</f>
        <v>5416.666666666667</v>
      </c>
      <c r="E65" s="19">
        <f t="shared" ref="E65:O65" si="25">D65</f>
        <v>5416.666666666667</v>
      </c>
      <c r="F65" s="19">
        <f t="shared" si="25"/>
        <v>5416.666666666667</v>
      </c>
      <c r="G65" s="19">
        <f t="shared" si="25"/>
        <v>5416.666666666667</v>
      </c>
      <c r="H65" s="19">
        <f t="shared" si="25"/>
        <v>5416.666666666667</v>
      </c>
      <c r="I65" s="19">
        <f t="shared" si="25"/>
        <v>5416.666666666667</v>
      </c>
      <c r="J65" s="19">
        <f t="shared" si="25"/>
        <v>5416.666666666667</v>
      </c>
      <c r="K65" s="19">
        <f t="shared" si="25"/>
        <v>5416.666666666667</v>
      </c>
      <c r="L65" s="19">
        <f t="shared" si="25"/>
        <v>5416.666666666667</v>
      </c>
      <c r="M65" s="19">
        <f t="shared" si="25"/>
        <v>5416.666666666667</v>
      </c>
      <c r="N65" s="19">
        <f t="shared" si="25"/>
        <v>5416.666666666667</v>
      </c>
      <c r="O65" s="19">
        <f t="shared" si="25"/>
        <v>5416.666666666667</v>
      </c>
      <c r="P65" s="24"/>
      <c r="Q65" s="19">
        <f>SUM(D65:O65)</f>
        <v>64999.999999999993</v>
      </c>
      <c r="R65" s="19"/>
      <c r="S65" s="19"/>
      <c r="T65" s="19"/>
      <c r="U65" s="19"/>
    </row>
    <row r="66" spans="2:21" ht="4.5" customHeight="1" outlineLevel="1"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</row>
    <row r="67" spans="2:21" ht="13.5" customHeight="1">
      <c r="B67" s="15" t="s">
        <v>60</v>
      </c>
      <c r="C67" s="16"/>
      <c r="D67" s="21">
        <f t="shared" ref="D67:O67" si="26">SUM(D64:D66)</f>
        <v>8333.3333333333339</v>
      </c>
      <c r="E67" s="21">
        <f t="shared" si="26"/>
        <v>8333.3333333333339</v>
      </c>
      <c r="F67" s="21">
        <f t="shared" si="26"/>
        <v>8333.3333333333339</v>
      </c>
      <c r="G67" s="21">
        <f t="shared" si="26"/>
        <v>8333.3333333333339</v>
      </c>
      <c r="H67" s="21">
        <f t="shared" si="26"/>
        <v>8333.3333333333339</v>
      </c>
      <c r="I67" s="21">
        <f t="shared" si="26"/>
        <v>8333.3333333333339</v>
      </c>
      <c r="J67" s="21">
        <f t="shared" si="26"/>
        <v>8333.3333333333339</v>
      </c>
      <c r="K67" s="21">
        <f t="shared" si="26"/>
        <v>8333.3333333333339</v>
      </c>
      <c r="L67" s="21">
        <f t="shared" si="26"/>
        <v>8333.3333333333339</v>
      </c>
      <c r="M67" s="21">
        <f t="shared" si="26"/>
        <v>8333.3333333333339</v>
      </c>
      <c r="N67" s="21">
        <f t="shared" si="26"/>
        <v>8333.3333333333339</v>
      </c>
      <c r="O67" s="21">
        <f t="shared" si="26"/>
        <v>8333.3333333333339</v>
      </c>
      <c r="P67" s="20"/>
      <c r="Q67" s="21">
        <f>SUM(Q64:Q66)</f>
        <v>100000</v>
      </c>
      <c r="R67" s="21">
        <f>SUM(R64:R66)</f>
        <v>0</v>
      </c>
      <c r="S67" s="21">
        <f>SUM(S64:S66)</f>
        <v>0</v>
      </c>
      <c r="T67" s="21">
        <f>SUM(T64:T66)</f>
        <v>0</v>
      </c>
      <c r="U67" s="21">
        <f>SUM(U64:U66)</f>
        <v>0</v>
      </c>
    </row>
    <row r="68" spans="2:21" ht="13.5" customHeight="1"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2:21" s="8" customFormat="1" ht="13.5" customHeight="1">
      <c r="B69" s="25" t="s">
        <v>61</v>
      </c>
      <c r="C69" s="16"/>
      <c r="D69" s="26">
        <f t="shared" ref="D69:O69" si="27">D41-D55-D62-D67</f>
        <v>-240900</v>
      </c>
      <c r="E69" s="26">
        <f t="shared" si="27"/>
        <v>-156584.52499999999</v>
      </c>
      <c r="F69" s="26">
        <f t="shared" si="27"/>
        <v>-153084.52499999999</v>
      </c>
      <c r="G69" s="26">
        <f t="shared" si="27"/>
        <v>-157642.85833333334</v>
      </c>
      <c r="H69" s="26">
        <f t="shared" si="27"/>
        <v>-67494.05</v>
      </c>
      <c r="I69" s="26">
        <f t="shared" si="27"/>
        <v>16821.424999999988</v>
      </c>
      <c r="J69" s="26">
        <f t="shared" si="27"/>
        <v>20321.424999999988</v>
      </c>
      <c r="K69" s="26">
        <f t="shared" si="27"/>
        <v>192452.375</v>
      </c>
      <c r="L69" s="26">
        <f t="shared" si="27"/>
        <v>283767.84999999998</v>
      </c>
      <c r="M69" s="26">
        <f t="shared" si="27"/>
        <v>280267.84999999998</v>
      </c>
      <c r="N69" s="26">
        <f t="shared" si="27"/>
        <v>459398.80000000005</v>
      </c>
      <c r="O69" s="26">
        <f t="shared" si="27"/>
        <v>280267.84999999998</v>
      </c>
      <c r="P69" s="27"/>
      <c r="Q69" s="26">
        <f>Q41-Q55-Q62-Q67</f>
        <v>757591.61666666681</v>
      </c>
      <c r="R69" s="26">
        <f>R41-R55-R62-R67</f>
        <v>1677570.6952249999</v>
      </c>
      <c r="S69" s="26">
        <f>S41-S55-S62-S67</f>
        <v>-98795.70383390598</v>
      </c>
      <c r="T69" s="26">
        <f>T41-T55-T62-T67</f>
        <v>666002.47602141555</v>
      </c>
      <c r="U69" s="26">
        <f>U41-U55-U62-U67</f>
        <v>1305845.9714953909</v>
      </c>
    </row>
    <row r="70" spans="2:21" s="28" customFormat="1" ht="13.5" customHeight="1">
      <c r="B70" s="29" t="s">
        <v>44</v>
      </c>
      <c r="C70" s="30"/>
      <c r="D70" s="32" t="str">
        <f>IFERROR(D69/D18,"")</f>
        <v/>
      </c>
      <c r="E70" s="32">
        <f t="shared" ref="E70:O70" si="28">E69/E18</f>
        <v>-1.6928056756756755</v>
      </c>
      <c r="F70" s="32">
        <f t="shared" si="28"/>
        <v>-1.6549678378378379</v>
      </c>
      <c r="G70" s="32">
        <f t="shared" si="28"/>
        <v>-1.7042471171171172</v>
      </c>
      <c r="H70" s="32">
        <f t="shared" si="28"/>
        <v>-0.36483270270270274</v>
      </c>
      <c r="I70" s="32">
        <f t="shared" si="28"/>
        <v>6.0617747747747704E-2</v>
      </c>
      <c r="J70" s="32">
        <f t="shared" si="28"/>
        <v>7.3230360360360319E-2</v>
      </c>
      <c r="K70" s="32">
        <f t="shared" si="28"/>
        <v>0.41611324324324322</v>
      </c>
      <c r="L70" s="32">
        <f t="shared" si="28"/>
        <v>0.51129342342342343</v>
      </c>
      <c r="M70" s="32">
        <f t="shared" si="28"/>
        <v>0.50498711711711708</v>
      </c>
      <c r="N70" s="32">
        <f t="shared" si="28"/>
        <v>0.62080918918918926</v>
      </c>
      <c r="O70" s="32">
        <f t="shared" si="28"/>
        <v>0.50498711711711708</v>
      </c>
      <c r="P70" s="29"/>
      <c r="Q70" s="32">
        <f>Q69/Q18</f>
        <v>0.19500427713427718</v>
      </c>
      <c r="R70" s="32">
        <f>R69/R18</f>
        <v>0.33184328858665441</v>
      </c>
      <c r="S70" s="32">
        <f>S69/S18</f>
        <v>-1.563436526486502E-2</v>
      </c>
      <c r="T70" s="32">
        <f>T69/T18</f>
        <v>8.7828768301240423E-2</v>
      </c>
      <c r="U70" s="32">
        <f>U69/U18</f>
        <v>0.1497459418687741</v>
      </c>
    </row>
    <row r="71" spans="2:21" ht="13.5" customHeight="1"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2:21" ht="13.5" customHeight="1" outlineLevel="1">
      <c r="B72" s="4" t="s">
        <v>62</v>
      </c>
      <c r="D72" s="19">
        <f>'Crédito Bancario'!C12</f>
        <v>6249.9999999999991</v>
      </c>
      <c r="E72" s="19">
        <f>'Crédito Bancario'!C13</f>
        <v>6076.3888888888887</v>
      </c>
      <c r="F72" s="19">
        <f>'Crédito Bancario'!C14</f>
        <v>5902.7777777777774</v>
      </c>
      <c r="G72" s="19">
        <f>'Crédito Bancario'!C15</f>
        <v>5729.166666666667</v>
      </c>
      <c r="H72" s="19">
        <f>'Crédito Bancario'!C16</f>
        <v>5555.5555555555557</v>
      </c>
      <c r="I72" s="19">
        <f>'Crédito Bancario'!C17</f>
        <v>5381.9444444444453</v>
      </c>
      <c r="J72" s="19">
        <f>'Crédito Bancario'!C18</f>
        <v>5208.3333333333339</v>
      </c>
      <c r="K72" s="19">
        <f>'Crédito Bancario'!C19</f>
        <v>5034.7222222222226</v>
      </c>
      <c r="L72" s="19">
        <f>'Crédito Bancario'!C20</f>
        <v>4861.1111111111122</v>
      </c>
      <c r="M72" s="19">
        <f>'Crédito Bancario'!C21</f>
        <v>4687.5000000000009</v>
      </c>
      <c r="N72" s="19">
        <f>'Crédito Bancario'!C22</f>
        <v>4513.8888888888905</v>
      </c>
      <c r="O72" s="19">
        <f>'Crédito Bancario'!C23</f>
        <v>4340.2777777777792</v>
      </c>
      <c r="P72" s="24"/>
      <c r="Q72" s="19">
        <f>SUM(D72:O72)</f>
        <v>63541.666666666672</v>
      </c>
      <c r="R72" s="19">
        <f>'Crédito Bancario'!H35</f>
        <v>38541.666666666701</v>
      </c>
      <c r="S72" s="19">
        <f>'Crédito Bancario'!H47</f>
        <v>13541.666666666717</v>
      </c>
      <c r="T72" s="19">
        <f>'Crédito Bancario'!H59</f>
        <v>-11458.333333333283</v>
      </c>
      <c r="U72" s="19">
        <f>'Crédito Bancario'!H71</f>
        <v>-36458.33333333327</v>
      </c>
    </row>
    <row r="73" spans="2:21" ht="4.5" customHeight="1" outlineLevel="1"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</row>
    <row r="74" spans="2:21" ht="13.5" customHeight="1">
      <c r="B74" s="15" t="s">
        <v>63</v>
      </c>
      <c r="C74" s="16"/>
      <c r="D74" s="21">
        <f t="shared" ref="D74:O74" si="29">SUM(D72:D73)</f>
        <v>6249.9999999999991</v>
      </c>
      <c r="E74" s="21">
        <f t="shared" si="29"/>
        <v>6076.3888888888887</v>
      </c>
      <c r="F74" s="21">
        <f t="shared" si="29"/>
        <v>5902.7777777777774</v>
      </c>
      <c r="G74" s="21">
        <f t="shared" si="29"/>
        <v>5729.166666666667</v>
      </c>
      <c r="H74" s="21">
        <f t="shared" si="29"/>
        <v>5555.5555555555557</v>
      </c>
      <c r="I74" s="21">
        <f t="shared" si="29"/>
        <v>5381.9444444444453</v>
      </c>
      <c r="J74" s="21">
        <f t="shared" si="29"/>
        <v>5208.3333333333339</v>
      </c>
      <c r="K74" s="21">
        <f t="shared" si="29"/>
        <v>5034.7222222222226</v>
      </c>
      <c r="L74" s="21">
        <f t="shared" si="29"/>
        <v>4861.1111111111122</v>
      </c>
      <c r="M74" s="21">
        <f t="shared" si="29"/>
        <v>4687.5000000000009</v>
      </c>
      <c r="N74" s="21">
        <f t="shared" si="29"/>
        <v>4513.8888888888905</v>
      </c>
      <c r="O74" s="21">
        <f t="shared" si="29"/>
        <v>4340.2777777777792</v>
      </c>
      <c r="P74" s="20"/>
      <c r="Q74" s="21">
        <f>SUM(Q72:Q73)</f>
        <v>63541.666666666672</v>
      </c>
      <c r="R74" s="21">
        <f>SUM(R72:R73)</f>
        <v>38541.666666666701</v>
      </c>
      <c r="S74" s="21">
        <f>SUM(S72:S73)</f>
        <v>13541.666666666717</v>
      </c>
      <c r="T74" s="21">
        <f>SUM(T72:T73)</f>
        <v>-11458.333333333283</v>
      </c>
      <c r="U74" s="21">
        <f>SUM(U72:U73)</f>
        <v>-36458.33333333327</v>
      </c>
    </row>
    <row r="75" spans="2:21" ht="13.5" customHeight="1"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2:21" s="8" customFormat="1" ht="13.5" customHeight="1">
      <c r="B76" s="25" t="s">
        <v>64</v>
      </c>
      <c r="C76" s="16"/>
      <c r="D76" s="26">
        <f t="shared" ref="D76:O76" si="30">D69-D74</f>
        <v>-247150</v>
      </c>
      <c r="E76" s="26">
        <f t="shared" si="30"/>
        <v>-162660.91388888887</v>
      </c>
      <c r="F76" s="26">
        <f t="shared" si="30"/>
        <v>-158987.30277777778</v>
      </c>
      <c r="G76" s="26">
        <f t="shared" si="30"/>
        <v>-163372.02499999999</v>
      </c>
      <c r="H76" s="26">
        <f t="shared" si="30"/>
        <v>-73049.605555555565</v>
      </c>
      <c r="I76" s="26">
        <f t="shared" si="30"/>
        <v>11439.480555555543</v>
      </c>
      <c r="J76" s="26">
        <f t="shared" si="30"/>
        <v>15113.091666666654</v>
      </c>
      <c r="K76" s="26">
        <f t="shared" si="30"/>
        <v>187417.65277777778</v>
      </c>
      <c r="L76" s="26">
        <f t="shared" si="30"/>
        <v>278906.73888888885</v>
      </c>
      <c r="M76" s="26">
        <f t="shared" si="30"/>
        <v>275580.34999999998</v>
      </c>
      <c r="N76" s="26">
        <f t="shared" si="30"/>
        <v>454884.91111111117</v>
      </c>
      <c r="O76" s="26">
        <f t="shared" si="30"/>
        <v>275927.57222222222</v>
      </c>
      <c r="P76" s="27"/>
      <c r="Q76" s="26">
        <f>Q69-Q74</f>
        <v>694049.95000000019</v>
      </c>
      <c r="R76" s="26">
        <f>R69-R74</f>
        <v>1639029.0285583332</v>
      </c>
      <c r="S76" s="26">
        <f>S69-S74</f>
        <v>-112337.3705005727</v>
      </c>
      <c r="T76" s="26">
        <f>T69-T74</f>
        <v>677460.80935474881</v>
      </c>
      <c r="U76" s="26">
        <f>U69-U74</f>
        <v>1342304.3048287241</v>
      </c>
    </row>
    <row r="77" spans="2:21" s="28" customFormat="1" ht="13.5" customHeight="1">
      <c r="B77" s="29" t="s">
        <v>44</v>
      </c>
      <c r="C77" s="30"/>
      <c r="D77" s="40" t="str">
        <f>IFERROR(D76/D18,"")</f>
        <v/>
      </c>
      <c r="E77" s="40">
        <f t="shared" ref="E77:O77" si="31">E76/E18</f>
        <v>-1.7584963663663662</v>
      </c>
      <c r="F77" s="40">
        <f t="shared" si="31"/>
        <v>-1.7187816516516516</v>
      </c>
      <c r="G77" s="40">
        <f t="shared" si="31"/>
        <v>-1.7661840540540541</v>
      </c>
      <c r="H77" s="40">
        <f t="shared" si="31"/>
        <v>-0.39486273273273276</v>
      </c>
      <c r="I77" s="40">
        <f t="shared" si="31"/>
        <v>4.1223353353353309E-2</v>
      </c>
      <c r="J77" s="40">
        <f t="shared" si="31"/>
        <v>5.446159159159155E-2</v>
      </c>
      <c r="K77" s="40">
        <f t="shared" si="31"/>
        <v>0.40522735735735738</v>
      </c>
      <c r="L77" s="40">
        <f t="shared" si="31"/>
        <v>0.50253466466466457</v>
      </c>
      <c r="M77" s="40">
        <f t="shared" si="31"/>
        <v>0.49654117117117114</v>
      </c>
      <c r="N77" s="40">
        <f t="shared" si="31"/>
        <v>0.61470933933933947</v>
      </c>
      <c r="O77" s="40">
        <f t="shared" si="31"/>
        <v>0.49716679679679682</v>
      </c>
      <c r="P77" s="41"/>
      <c r="Q77" s="40">
        <f>Q76/Q18</f>
        <v>0.17864863577863582</v>
      </c>
      <c r="R77" s="40">
        <f>R76/R18</f>
        <v>0.32421929190461773</v>
      </c>
      <c r="S77" s="40">
        <f>S76/S18</f>
        <v>-1.7777326494410464E-2</v>
      </c>
      <c r="T77" s="40">
        <f>T76/T18</f>
        <v>8.9339830706689119E-2</v>
      </c>
      <c r="U77" s="40">
        <f>U76/U18</f>
        <v>0.1539267469431381</v>
      </c>
    </row>
    <row r="78" spans="2:21" ht="13.5" customHeight="1"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2:21" ht="13.5" customHeight="1" outlineLevel="1">
      <c r="B79" s="4" t="s">
        <v>315</v>
      </c>
      <c r="D79" s="19">
        <f>IF(D76&lt;0,0,D76*(SUPUESTOS!$D$3+SUPUESTOS!$D$4))</f>
        <v>0</v>
      </c>
      <c r="E79" s="19">
        <f>IF(E76&lt;0,0,E76*(SUPUESTOS!$D$3+SUPUESTOS!$D$4))</f>
        <v>0</v>
      </c>
      <c r="F79" s="19">
        <f>IF(F76&lt;0,0,F76*(SUPUESTOS!$D$3+SUPUESTOS!$D$4))</f>
        <v>0</v>
      </c>
      <c r="G79" s="19">
        <f>IF(G76&lt;0,0,G76*(SUPUESTOS!$D$3+SUPUESTOS!$D$4))</f>
        <v>0</v>
      </c>
      <c r="H79" s="19">
        <f>IF(H76&lt;0,0,H76*(SUPUESTOS!$D$3+SUPUESTOS!$D$4))</f>
        <v>0</v>
      </c>
      <c r="I79" s="19">
        <f>IF(I76&lt;0,0,I76*(SUPUESTOS!$D$3+SUPUESTOS!$D$4))</f>
        <v>4575.7922222222178</v>
      </c>
      <c r="J79" s="19">
        <f>IF(J76&lt;0,0,J76*(SUPUESTOS!$D$3+SUPUESTOS!$D$4))</f>
        <v>6045.2366666666621</v>
      </c>
      <c r="K79" s="19">
        <f>IF(K76&lt;0,0,K76*(SUPUESTOS!$D$3+SUPUESTOS!$D$4))</f>
        <v>74967.061111111121</v>
      </c>
      <c r="L79" s="19">
        <f>IF(L76&lt;0,0,L76*(SUPUESTOS!$D$3+SUPUESTOS!$D$4))</f>
        <v>111562.69555555555</v>
      </c>
      <c r="M79" s="19">
        <f>IF(M76&lt;0,0,M76*(SUPUESTOS!$D$3+SUPUESTOS!$D$4))</f>
        <v>110232.14</v>
      </c>
      <c r="N79" s="19">
        <f>IF(N76&lt;0,0,N76*(SUPUESTOS!$D$3+SUPUESTOS!$D$4))</f>
        <v>181953.96444444449</v>
      </c>
      <c r="O79" s="19">
        <f>IF(O76&lt;0,0,O76*(SUPUESTOS!$D$3+SUPUESTOS!$D$4))</f>
        <v>110371.02888888889</v>
      </c>
      <c r="P79" s="24"/>
      <c r="Q79" s="19">
        <f>SUM(D79:O79)</f>
        <v>599707.9188888889</v>
      </c>
      <c r="R79" s="19">
        <f>IF(R76&lt;0,0,R76*(SUPUESTOS!$D$3+SUPUESTOS!$D$4))</f>
        <v>655611.61142333329</v>
      </c>
      <c r="S79" s="19">
        <f>IF(S76&lt;0,0,S76*(SUPUESTOS!$D$3+SUPUESTOS!$D$4))</f>
        <v>0</v>
      </c>
      <c r="T79" s="19">
        <f>IF(T76&lt;0,0,T76*(SUPUESTOS!$D$3+SUPUESTOS!$D$4))</f>
        <v>270984.32374189951</v>
      </c>
      <c r="U79" s="19">
        <f>IF(U76&lt;0,0,U76*(SUPUESTOS!$D$3+SUPUESTOS!$D$4))</f>
        <v>536921.72193148965</v>
      </c>
    </row>
    <row r="80" spans="2:21" ht="13.5" customHeight="1" outlineLevel="1">
      <c r="B80" s="4" t="s">
        <v>65</v>
      </c>
      <c r="D80" s="19">
        <v>0</v>
      </c>
      <c r="E80" s="19">
        <v>850</v>
      </c>
      <c r="F80" s="19">
        <v>850</v>
      </c>
      <c r="G80" s="19">
        <v>850</v>
      </c>
      <c r="H80" s="19">
        <v>850</v>
      </c>
      <c r="I80" s="19">
        <v>850</v>
      </c>
      <c r="J80" s="19">
        <v>850</v>
      </c>
      <c r="K80" s="19">
        <v>850</v>
      </c>
      <c r="L80" s="19">
        <v>850</v>
      </c>
      <c r="M80" s="19">
        <v>850</v>
      </c>
      <c r="N80" s="19">
        <v>850</v>
      </c>
      <c r="O80" s="19">
        <v>850</v>
      </c>
      <c r="P80" s="24"/>
      <c r="Q80" s="19">
        <f>SUM(D80:O80)</f>
        <v>9350</v>
      </c>
      <c r="R80" s="19">
        <f>Q80</f>
        <v>9350</v>
      </c>
      <c r="S80" s="19">
        <f>R80</f>
        <v>9350</v>
      </c>
      <c r="T80" s="19">
        <f>S80</f>
        <v>9350</v>
      </c>
      <c r="U80" s="19">
        <f>T80</f>
        <v>9350</v>
      </c>
    </row>
    <row r="81" spans="2:21" ht="13.5" customHeight="1" outlineLevel="1">
      <c r="B81" s="4" t="s">
        <v>66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24"/>
      <c r="Q81" s="19">
        <f>SUM(D81:O81)</f>
        <v>0</v>
      </c>
      <c r="R81" s="19">
        <f t="shared" ref="R81:U82" si="32">SUM(E81:Q81)</f>
        <v>0</v>
      </c>
      <c r="S81" s="19">
        <f t="shared" si="32"/>
        <v>0</v>
      </c>
      <c r="T81" s="19">
        <f t="shared" si="32"/>
        <v>0</v>
      </c>
      <c r="U81" s="19">
        <f t="shared" si="32"/>
        <v>0</v>
      </c>
    </row>
    <row r="82" spans="2:21" ht="13.5" customHeight="1" outlineLevel="1">
      <c r="B82" s="4" t="s">
        <v>67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24"/>
      <c r="Q82" s="19">
        <f>SUM(D82:O82)</f>
        <v>0</v>
      </c>
      <c r="R82" s="19">
        <f t="shared" si="32"/>
        <v>0</v>
      </c>
      <c r="S82" s="19">
        <f t="shared" si="32"/>
        <v>0</v>
      </c>
      <c r="T82" s="19">
        <f t="shared" si="32"/>
        <v>0</v>
      </c>
      <c r="U82" s="19">
        <f t="shared" si="32"/>
        <v>0</v>
      </c>
    </row>
    <row r="83" spans="2:21" ht="4.5" customHeight="1" outlineLevel="1"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</row>
    <row r="84" spans="2:21" ht="13.5" customHeight="1">
      <c r="B84" s="15" t="s">
        <v>68</v>
      </c>
      <c r="C84" s="16"/>
      <c r="D84" s="21">
        <f t="shared" ref="D84:O84" si="33">SUM(D79:D83)</f>
        <v>0</v>
      </c>
      <c r="E84" s="21">
        <f t="shared" si="33"/>
        <v>850</v>
      </c>
      <c r="F84" s="21">
        <f t="shared" si="33"/>
        <v>850</v>
      </c>
      <c r="G84" s="21">
        <f t="shared" si="33"/>
        <v>850</v>
      </c>
      <c r="H84" s="21">
        <f t="shared" si="33"/>
        <v>850</v>
      </c>
      <c r="I84" s="21">
        <f t="shared" si="33"/>
        <v>5425.7922222222178</v>
      </c>
      <c r="J84" s="21">
        <f t="shared" si="33"/>
        <v>6895.2366666666621</v>
      </c>
      <c r="K84" s="21">
        <f t="shared" si="33"/>
        <v>75817.061111111121</v>
      </c>
      <c r="L84" s="21">
        <f t="shared" si="33"/>
        <v>112412.69555555555</v>
      </c>
      <c r="M84" s="21">
        <f t="shared" si="33"/>
        <v>111082.14</v>
      </c>
      <c r="N84" s="21">
        <f t="shared" si="33"/>
        <v>182803.96444444449</v>
      </c>
      <c r="O84" s="21">
        <f t="shared" si="33"/>
        <v>111221.02888888889</v>
      </c>
      <c r="P84" s="20"/>
      <c r="Q84" s="21">
        <f>SUM(Q79:Q83)</f>
        <v>609057.9188888889</v>
      </c>
      <c r="R84" s="21">
        <f>SUM(R79:R83)</f>
        <v>664961.61142333329</v>
      </c>
      <c r="S84" s="21">
        <f>SUM(S79:S83)</f>
        <v>9350</v>
      </c>
      <c r="T84" s="21">
        <f>SUM(T79:T83)</f>
        <v>280334.32374189951</v>
      </c>
      <c r="U84" s="21">
        <f>SUM(U79:U83)</f>
        <v>546271.72193148965</v>
      </c>
    </row>
    <row r="85" spans="2:21" ht="13.5" customHeight="1"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2:21" s="8" customFormat="1" ht="13.5" customHeight="1">
      <c r="B86" s="25" t="s">
        <v>69</v>
      </c>
      <c r="C86" s="16"/>
      <c r="D86" s="26">
        <f t="shared" ref="D86:O86" si="34">D76-D84</f>
        <v>-247150</v>
      </c>
      <c r="E86" s="26">
        <f t="shared" si="34"/>
        <v>-163510.91388888887</v>
      </c>
      <c r="F86" s="26">
        <f t="shared" si="34"/>
        <v>-159837.30277777778</v>
      </c>
      <c r="G86" s="26">
        <f t="shared" si="34"/>
        <v>-164222.02499999999</v>
      </c>
      <c r="H86" s="26">
        <f t="shared" si="34"/>
        <v>-73899.605555555565</v>
      </c>
      <c r="I86" s="26">
        <f t="shared" si="34"/>
        <v>6013.6883333333253</v>
      </c>
      <c r="J86" s="26">
        <f t="shared" si="34"/>
        <v>8217.8549999999923</v>
      </c>
      <c r="K86" s="26">
        <f t="shared" si="34"/>
        <v>111600.59166666666</v>
      </c>
      <c r="L86" s="26">
        <f t="shared" si="34"/>
        <v>166494.04333333331</v>
      </c>
      <c r="M86" s="26">
        <f t="shared" si="34"/>
        <v>164498.20999999996</v>
      </c>
      <c r="N86" s="26">
        <f t="shared" si="34"/>
        <v>272080.94666666666</v>
      </c>
      <c r="O86" s="26">
        <f t="shared" si="34"/>
        <v>164706.54333333333</v>
      </c>
      <c r="P86" s="27"/>
      <c r="Q86" s="26">
        <f>SUM(D86:O86)</f>
        <v>84992.03111111105</v>
      </c>
      <c r="R86" s="26">
        <f>R76-R84</f>
        <v>974067.41713499988</v>
      </c>
      <c r="S86" s="26">
        <f>S76-S84</f>
        <v>-121687.3705005727</v>
      </c>
      <c r="T86" s="26">
        <f>T76-T84</f>
        <v>397126.4856128493</v>
      </c>
      <c r="U86" s="26">
        <f>U76-U84</f>
        <v>796032.58289723448</v>
      </c>
    </row>
    <row r="87" spans="2:21" s="28" customFormat="1" ht="13.5" customHeight="1">
      <c r="B87" s="29" t="s">
        <v>44</v>
      </c>
      <c r="C87" s="30"/>
      <c r="D87" s="32" t="str">
        <f>IFERROR(D86/D18,"")</f>
        <v/>
      </c>
      <c r="E87" s="32">
        <f t="shared" ref="E87:O87" si="35">E86/E18</f>
        <v>-1.7676855555555553</v>
      </c>
      <c r="F87" s="32">
        <f t="shared" si="35"/>
        <v>-1.7279708408408407</v>
      </c>
      <c r="G87" s="32">
        <f t="shared" si="35"/>
        <v>-1.7753732432432432</v>
      </c>
      <c r="H87" s="32">
        <f t="shared" si="35"/>
        <v>-0.39945732732732736</v>
      </c>
      <c r="I87" s="32">
        <f t="shared" si="35"/>
        <v>2.1670948948948918E-2</v>
      </c>
      <c r="J87" s="32">
        <f t="shared" si="35"/>
        <v>2.9613891891891866E-2</v>
      </c>
      <c r="K87" s="32">
        <f t="shared" si="35"/>
        <v>0.24129857657657655</v>
      </c>
      <c r="L87" s="32">
        <f t="shared" si="35"/>
        <v>0.29998926726726721</v>
      </c>
      <c r="M87" s="32">
        <f t="shared" si="35"/>
        <v>0.29639317117117109</v>
      </c>
      <c r="N87" s="32">
        <f t="shared" si="35"/>
        <v>0.36767695495495495</v>
      </c>
      <c r="O87" s="32">
        <f t="shared" si="35"/>
        <v>0.29676854654654655</v>
      </c>
      <c r="P87" s="29"/>
      <c r="Q87" s="32">
        <f>Q86/Q18</f>
        <v>2.187697068497067E-2</v>
      </c>
      <c r="R87" s="32">
        <f>R86/R18</f>
        <v>0.19268203475850143</v>
      </c>
      <c r="S87" s="32">
        <f>S86/S18</f>
        <v>-1.9256958801825833E-2</v>
      </c>
      <c r="T87" s="32">
        <f>T86/T18</f>
        <v>5.2370871501167329E-2</v>
      </c>
      <c r="U87" s="32">
        <f>U86/U18</f>
        <v>9.1283850841668818E-2</v>
      </c>
    </row>
    <row r="88" spans="2:21" ht="15" customHeight="1"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2:21" s="42" customFormat="1" ht="16.5" customHeight="1">
      <c r="B89" s="43" t="s">
        <v>70</v>
      </c>
      <c r="C89" s="44"/>
      <c r="D89" s="45">
        <f>D86</f>
        <v>-247150</v>
      </c>
      <c r="E89" s="45">
        <f>D89+E86</f>
        <v>-410660.9138888889</v>
      </c>
      <c r="F89" s="45">
        <f>E89+F86</f>
        <v>-570498.21666666667</v>
      </c>
      <c r="G89" s="45">
        <f t="shared" ref="G89:O89" si="36">F89+G86</f>
        <v>-734720.2416666667</v>
      </c>
      <c r="H89" s="45">
        <f t="shared" si="36"/>
        <v>-808619.84722222225</v>
      </c>
      <c r="I89" s="45">
        <f t="shared" si="36"/>
        <v>-802606.15888888889</v>
      </c>
      <c r="J89" s="45">
        <f t="shared" si="36"/>
        <v>-794388.30388888891</v>
      </c>
      <c r="K89" s="45">
        <f t="shared" si="36"/>
        <v>-682787.71222222224</v>
      </c>
      <c r="L89" s="45">
        <f t="shared" si="36"/>
        <v>-516293.6688888889</v>
      </c>
      <c r="M89" s="45">
        <f t="shared" si="36"/>
        <v>-351795.45888888894</v>
      </c>
      <c r="N89" s="45">
        <f t="shared" si="36"/>
        <v>-79714.512222222285</v>
      </c>
      <c r="O89" s="45">
        <f t="shared" si="36"/>
        <v>84992.03111111105</v>
      </c>
      <c r="P89" s="46"/>
      <c r="Q89" s="47">
        <f>O89</f>
        <v>84992.03111111105</v>
      </c>
      <c r="R89" s="47">
        <f>Q89+R86</f>
        <v>1059059.4482461109</v>
      </c>
      <c r="S89" s="47">
        <f>R89+S86</f>
        <v>937372.0777455382</v>
      </c>
      <c r="T89" s="47">
        <f>S89+T86</f>
        <v>1334498.5633583874</v>
      </c>
      <c r="U89" s="47">
        <f>T89+U86</f>
        <v>2130531.1462556217</v>
      </c>
    </row>
    <row r="90" spans="2:21" ht="42" customHeight="1"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</row>
    <row r="91" spans="2:21" s="8" customFormat="1" ht="13.5" customHeight="1" outlineLevel="1">
      <c r="B91" s="25" t="s">
        <v>71</v>
      </c>
      <c r="C91" s="16"/>
      <c r="D91" s="26">
        <f t="shared" ref="D91:O91" si="37">D69+D62+D67</f>
        <v>-231400</v>
      </c>
      <c r="E91" s="26">
        <f t="shared" si="37"/>
        <v>-147084.52499999999</v>
      </c>
      <c r="F91" s="26">
        <f t="shared" si="37"/>
        <v>-143584.52499999999</v>
      </c>
      <c r="G91" s="26">
        <f t="shared" si="37"/>
        <v>-147084.52499999999</v>
      </c>
      <c r="H91" s="26">
        <f t="shared" si="37"/>
        <v>-55769.05</v>
      </c>
      <c r="I91" s="26">
        <f t="shared" si="37"/>
        <v>28546.424999999988</v>
      </c>
      <c r="J91" s="26">
        <f t="shared" si="37"/>
        <v>32046.424999999988</v>
      </c>
      <c r="K91" s="26">
        <f t="shared" si="37"/>
        <v>204177.375</v>
      </c>
      <c r="L91" s="26">
        <f t="shared" si="37"/>
        <v>295492.84999999998</v>
      </c>
      <c r="M91" s="26">
        <f t="shared" si="37"/>
        <v>291992.84999999998</v>
      </c>
      <c r="N91" s="26">
        <f t="shared" si="37"/>
        <v>471123.80000000005</v>
      </c>
      <c r="O91" s="26">
        <f t="shared" si="37"/>
        <v>291992.84999999998</v>
      </c>
      <c r="P91" s="27"/>
      <c r="Q91" s="26">
        <f>SUM(D91:O91)</f>
        <v>890449.94999999984</v>
      </c>
      <c r="R91" s="26">
        <f>R69+R62+R67</f>
        <v>1718270.6952249999</v>
      </c>
      <c r="S91" s="26">
        <f>S69+S62+S67</f>
        <v>-58095.70383390598</v>
      </c>
      <c r="T91" s="26">
        <f>T69+T62+T67</f>
        <v>706702.47602141555</v>
      </c>
      <c r="U91" s="26">
        <f>U69+U62+U67</f>
        <v>1346545.9714953909</v>
      </c>
    </row>
    <row r="92" spans="2:21" s="28" customFormat="1" ht="13.5" customHeight="1" outlineLevel="1">
      <c r="B92" s="29" t="s">
        <v>44</v>
      </c>
      <c r="C92" s="30"/>
      <c r="D92" s="40" t="str">
        <f>IFERROR(D91/D18,"")</f>
        <v/>
      </c>
      <c r="E92" s="40">
        <f t="shared" ref="E92:O92" si="38">E91/E18</f>
        <v>-1.590102972972973</v>
      </c>
      <c r="F92" s="40">
        <f t="shared" si="38"/>
        <v>-1.5522651351351351</v>
      </c>
      <c r="G92" s="40">
        <f t="shared" si="38"/>
        <v>-1.590102972972973</v>
      </c>
      <c r="H92" s="40">
        <f t="shared" si="38"/>
        <v>-0.30145432432432434</v>
      </c>
      <c r="I92" s="40">
        <f t="shared" si="38"/>
        <v>0.10286999999999996</v>
      </c>
      <c r="J92" s="40">
        <f t="shared" si="38"/>
        <v>0.11548261261261257</v>
      </c>
      <c r="K92" s="40">
        <f t="shared" si="38"/>
        <v>0.44146459459459458</v>
      </c>
      <c r="L92" s="40">
        <f t="shared" si="38"/>
        <v>0.53241954954954951</v>
      </c>
      <c r="M92" s="40">
        <f t="shared" si="38"/>
        <v>0.52611324324324316</v>
      </c>
      <c r="N92" s="40">
        <f t="shared" si="38"/>
        <v>0.6366537837837839</v>
      </c>
      <c r="O92" s="40">
        <f t="shared" si="38"/>
        <v>0.52611324324324316</v>
      </c>
      <c r="P92" s="41"/>
      <c r="Q92" s="40">
        <f>Q91/Q18</f>
        <v>0.2292020463320463</v>
      </c>
      <c r="R92" s="40">
        <f>R91/R18</f>
        <v>0.33989422908288514</v>
      </c>
      <c r="S92" s="40">
        <f>S91/S18</f>
        <v>-9.1936128678804623E-3</v>
      </c>
      <c r="T92" s="40">
        <f>T91/T18</f>
        <v>9.319606196539422E-2</v>
      </c>
      <c r="U92" s="40">
        <f>U91/U18</f>
        <v>0.15441315375064696</v>
      </c>
    </row>
    <row r="93" spans="2:21" ht="13.5" customHeight="1"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</row>
    <row r="94" spans="2:21" ht="13.5" customHeight="1"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</row>
    <row r="95" spans="2:21" ht="13.5" customHeight="1"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</row>
    <row r="96" spans="2:21" ht="13.5" customHeight="1"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</row>
    <row r="97" spans="4:21" ht="13.5" customHeight="1"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</row>
    <row r="98" spans="4:21" ht="13.5" customHeight="1"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</row>
  </sheetData>
  <mergeCells count="3">
    <mergeCell ref="A1:B1"/>
    <mergeCell ref="D1:O1"/>
    <mergeCell ref="D2:O2"/>
  </mergeCells>
  <conditionalFormatting sqref="D89:U89">
    <cfRule type="top10" dxfId="4" priority="1" bottom="1" rank="1"/>
  </conditionalFormatting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1"/>
  <sheetViews>
    <sheetView showGridLines="0" zoomScale="150" zoomScaleNormal="150" workbookViewId="0">
      <pane xSplit="1" ySplit="2" topLeftCell="F59" activePane="bottomRight" state="frozen"/>
      <selection pane="topRight" activeCell="B1" sqref="B1"/>
      <selection pane="bottomLeft" activeCell="A3" sqref="A3"/>
      <selection pane="bottomRight" activeCell="N68" sqref="N68"/>
    </sheetView>
  </sheetViews>
  <sheetFormatPr baseColWidth="10" defaultColWidth="13" defaultRowHeight="14" outlineLevelRow="1"/>
  <cols>
    <col min="1" max="1" width="15.796875" style="50" customWidth="1"/>
    <col min="2" max="2" width="20.796875" style="4" customWidth="1"/>
    <col min="3" max="3" width="3.19921875" style="51" customWidth="1"/>
    <col min="4" max="4" width="19.19921875" style="51" customWidth="1"/>
    <col min="5" max="5" width="10" style="51" customWidth="1"/>
    <col min="6" max="6" width="19.19921875" style="51" customWidth="1"/>
    <col min="7" max="7" width="5" style="51" customWidth="1"/>
    <col min="8" max="8" width="19.796875" style="51" customWidth="1"/>
    <col min="9" max="9" width="3.19921875" style="51" customWidth="1"/>
    <col min="10" max="10" width="19.796875" style="51" customWidth="1"/>
    <col min="11" max="11" width="2.796875" style="51" customWidth="1"/>
    <col min="12" max="12" width="19.59765625" style="51" customWidth="1"/>
    <col min="13" max="16384" width="13" style="51"/>
  </cols>
  <sheetData>
    <row r="1" spans="1:9" ht="21.75" customHeight="1">
      <c r="A1" s="298"/>
      <c r="B1" s="298"/>
      <c r="C1" s="301" t="s">
        <v>72</v>
      </c>
      <c r="D1" s="301"/>
      <c r="E1" s="301"/>
      <c r="F1" s="52" t="s">
        <v>73</v>
      </c>
      <c r="I1" s="1"/>
    </row>
    <row r="2" spans="1:9" ht="24.75" customHeight="1">
      <c r="A2" s="53"/>
      <c r="B2" s="54"/>
      <c r="F2" s="55"/>
    </row>
    <row r="3" spans="1:9" ht="13.5" customHeight="1">
      <c r="A3" s="56" t="s">
        <v>74</v>
      </c>
      <c r="B3" s="4" t="s">
        <v>29</v>
      </c>
      <c r="D3" s="51">
        <v>0.33</v>
      </c>
      <c r="E3" s="51" t="s">
        <v>75</v>
      </c>
      <c r="F3" s="55">
        <f>Costeo!J52</f>
        <v>82.5</v>
      </c>
    </row>
    <row r="4" spans="1:9" ht="13.5" customHeight="1">
      <c r="A4" s="56"/>
      <c r="B4" s="4" t="s">
        <v>33</v>
      </c>
      <c r="D4" s="51">
        <v>0.02</v>
      </c>
      <c r="E4" s="51" t="s">
        <v>75</v>
      </c>
      <c r="F4" s="55">
        <f>Costeo!J56</f>
        <v>10</v>
      </c>
    </row>
    <row r="5" spans="1:9" ht="13.5" customHeight="1">
      <c r="A5" s="56"/>
      <c r="B5" s="4" t="s">
        <v>34</v>
      </c>
      <c r="D5" s="51">
        <v>2</v>
      </c>
      <c r="E5" s="51" t="s">
        <v>76</v>
      </c>
      <c r="F5" s="55">
        <f>Costeo!J57</f>
        <v>19.8</v>
      </c>
    </row>
    <row r="6" spans="1:9" ht="13.5" customHeight="1">
      <c r="A6" s="56"/>
      <c r="B6" s="4" t="s">
        <v>35</v>
      </c>
      <c r="D6" s="51">
        <v>5.0000000000000001E-3</v>
      </c>
      <c r="E6" s="51" t="s">
        <v>77</v>
      </c>
      <c r="F6" s="55">
        <f>Costeo!J58</f>
        <v>0.45</v>
      </c>
    </row>
    <row r="7" spans="1:9" ht="13.5" customHeight="1">
      <c r="A7" s="56"/>
      <c r="B7" s="4" t="s">
        <v>36</v>
      </c>
      <c r="D7" s="51">
        <v>2</v>
      </c>
      <c r="E7" s="51" t="s">
        <v>76</v>
      </c>
      <c r="F7" s="55">
        <f>Costeo!J59</f>
        <v>6</v>
      </c>
    </row>
    <row r="8" spans="1:9" ht="13.5" customHeight="1">
      <c r="A8" s="56"/>
      <c r="B8" s="4" t="s">
        <v>37</v>
      </c>
      <c r="D8" s="51">
        <v>1E-3</v>
      </c>
      <c r="E8" s="51" t="s">
        <v>75</v>
      </c>
      <c r="F8" s="57">
        <f>Costeo!J60</f>
        <v>1E-3</v>
      </c>
      <c r="H8" s="55">
        <f>SUM(F3:F8)</f>
        <v>118.751</v>
      </c>
    </row>
    <row r="9" spans="1:9" ht="5.25" customHeight="1">
      <c r="A9" s="56"/>
      <c r="F9" s="55"/>
    </row>
    <row r="10" spans="1:9" ht="13.5" customHeight="1">
      <c r="A10" s="56"/>
      <c r="B10" s="4" t="s">
        <v>38</v>
      </c>
      <c r="D10" s="51">
        <v>4</v>
      </c>
      <c r="E10" s="51" t="s">
        <v>78</v>
      </c>
      <c r="F10" s="55">
        <f>Costeo!J62</f>
        <v>285.44243577545194</v>
      </c>
    </row>
    <row r="11" spans="1:9" ht="5.25" customHeight="1">
      <c r="A11" s="56"/>
      <c r="F11" s="55"/>
    </row>
    <row r="12" spans="1:9" ht="13.5" customHeight="1">
      <c r="A12" s="56"/>
      <c r="B12" s="58"/>
      <c r="F12" s="59">
        <f>SUM(F3:F11)</f>
        <v>404.19343577545192</v>
      </c>
      <c r="G12" s="51" t="s">
        <v>79</v>
      </c>
    </row>
    <row r="13" spans="1:9" ht="15" customHeight="1">
      <c r="A13" s="60"/>
      <c r="B13" s="61"/>
      <c r="D13" s="62"/>
      <c r="E13" s="62"/>
      <c r="F13" s="63"/>
    </row>
    <row r="14" spans="1:9" ht="15" customHeight="1" outlineLevel="1">
      <c r="A14" s="56"/>
      <c r="F14" s="55"/>
    </row>
    <row r="15" spans="1:9" ht="13.5" customHeight="1" outlineLevel="1">
      <c r="A15" s="56" t="s">
        <v>80</v>
      </c>
      <c r="B15" s="4" t="s">
        <v>30</v>
      </c>
      <c r="D15" s="51">
        <v>0.33</v>
      </c>
      <c r="E15" s="51" t="s">
        <v>75</v>
      </c>
      <c r="F15" s="55">
        <f>Costeo!J53</f>
        <v>108.9</v>
      </c>
    </row>
    <row r="16" spans="1:9" ht="13.5" customHeight="1" outlineLevel="1">
      <c r="A16" s="56"/>
      <c r="B16" s="4" t="s">
        <v>33</v>
      </c>
      <c r="D16" s="51">
        <v>0.02</v>
      </c>
      <c r="E16" s="51" t="s">
        <v>75</v>
      </c>
      <c r="F16" s="55">
        <f>Costeo!J56</f>
        <v>10</v>
      </c>
    </row>
    <row r="17" spans="1:7" ht="13.5" customHeight="1" outlineLevel="1">
      <c r="A17" s="56"/>
      <c r="B17" s="4" t="s">
        <v>34</v>
      </c>
      <c r="D17" s="51">
        <v>2</v>
      </c>
      <c r="E17" s="51" t="s">
        <v>76</v>
      </c>
      <c r="F17" s="55">
        <f>Costeo!J57</f>
        <v>19.8</v>
      </c>
    </row>
    <row r="18" spans="1:7" ht="13.5" customHeight="1" outlineLevel="1">
      <c r="A18" s="56"/>
      <c r="B18" s="4" t="s">
        <v>35</v>
      </c>
      <c r="D18" s="51">
        <v>5.0000000000000001E-3</v>
      </c>
      <c r="E18" s="51" t="s">
        <v>77</v>
      </c>
      <c r="F18" s="55">
        <f>Costeo!J58</f>
        <v>0.45</v>
      </c>
    </row>
    <row r="19" spans="1:7" ht="13.5" customHeight="1" outlineLevel="1">
      <c r="A19" s="56"/>
      <c r="B19" s="4" t="s">
        <v>36</v>
      </c>
      <c r="D19" s="51">
        <v>2</v>
      </c>
      <c r="E19" s="51" t="s">
        <v>76</v>
      </c>
      <c r="F19" s="55">
        <f>Costeo!J59</f>
        <v>6</v>
      </c>
    </row>
    <row r="20" spans="1:7" ht="13.5" customHeight="1" outlineLevel="1">
      <c r="A20" s="56"/>
      <c r="B20" s="4" t="s">
        <v>37</v>
      </c>
      <c r="D20" s="51">
        <v>1E-3</v>
      </c>
      <c r="E20" s="51" t="s">
        <v>75</v>
      </c>
      <c r="F20" s="57">
        <f>Costeo!J60</f>
        <v>1E-3</v>
      </c>
    </row>
    <row r="21" spans="1:7" ht="5.25" customHeight="1" outlineLevel="1">
      <c r="A21" s="56"/>
      <c r="F21" s="55"/>
    </row>
    <row r="22" spans="1:7" ht="13.5" customHeight="1" outlineLevel="1">
      <c r="A22" s="56"/>
      <c r="B22" s="4" t="s">
        <v>39</v>
      </c>
      <c r="D22" s="51">
        <v>4</v>
      </c>
      <c r="E22" s="51" t="s">
        <v>78</v>
      </c>
      <c r="F22" s="55">
        <f>Costeo!J63</f>
        <v>285.44243577545194</v>
      </c>
    </row>
    <row r="23" spans="1:7" ht="5.25" customHeight="1" outlineLevel="1">
      <c r="A23" s="56"/>
      <c r="F23" s="55"/>
    </row>
    <row r="24" spans="1:7" ht="13.5" customHeight="1" outlineLevel="1">
      <c r="A24" s="56"/>
      <c r="F24" s="59">
        <f>SUM(F15:F23)</f>
        <v>430.59343577545195</v>
      </c>
      <c r="G24" s="51" t="s">
        <v>79</v>
      </c>
    </row>
    <row r="25" spans="1:7" ht="15" customHeight="1">
      <c r="A25" s="60"/>
      <c r="B25" s="61"/>
      <c r="D25" s="62"/>
      <c r="E25" s="62"/>
      <c r="F25" s="63"/>
    </row>
    <row r="26" spans="1:7" ht="15" customHeight="1" outlineLevel="1">
      <c r="A26" s="56"/>
      <c r="F26" s="55"/>
    </row>
    <row r="27" spans="1:7" ht="13.5" customHeight="1" outlineLevel="1">
      <c r="A27" s="56" t="s">
        <v>81</v>
      </c>
      <c r="B27" s="4" t="s">
        <v>31</v>
      </c>
      <c r="D27" s="51">
        <v>0.33</v>
      </c>
      <c r="E27" s="51" t="s">
        <v>75</v>
      </c>
      <c r="F27" s="55">
        <f>Costeo!J54</f>
        <v>193.05</v>
      </c>
    </row>
    <row r="28" spans="1:7" ht="13.5" customHeight="1" outlineLevel="1">
      <c r="A28" s="56"/>
      <c r="B28" s="4" t="s">
        <v>33</v>
      </c>
      <c r="D28" s="51">
        <v>0.02</v>
      </c>
      <c r="E28" s="51" t="s">
        <v>75</v>
      </c>
      <c r="F28" s="55">
        <f>Costeo!J56</f>
        <v>10</v>
      </c>
    </row>
    <row r="29" spans="1:7" ht="13.5" customHeight="1" outlineLevel="1">
      <c r="A29" s="56"/>
      <c r="B29" s="4" t="s">
        <v>34</v>
      </c>
      <c r="D29" s="51">
        <v>2</v>
      </c>
      <c r="E29" s="51" t="s">
        <v>76</v>
      </c>
      <c r="F29" s="55">
        <f>Costeo!J57</f>
        <v>19.8</v>
      </c>
    </row>
    <row r="30" spans="1:7" ht="13.5" customHeight="1" outlineLevel="1">
      <c r="A30" s="56"/>
      <c r="B30" s="4" t="s">
        <v>35</v>
      </c>
      <c r="D30" s="51">
        <v>5.0000000000000001E-3</v>
      </c>
      <c r="E30" s="51" t="s">
        <v>77</v>
      </c>
      <c r="F30" s="55">
        <f>Costeo!J58</f>
        <v>0.45</v>
      </c>
    </row>
    <row r="31" spans="1:7" ht="13.5" customHeight="1" outlineLevel="1">
      <c r="A31" s="56"/>
      <c r="B31" s="4" t="s">
        <v>36</v>
      </c>
      <c r="D31" s="51">
        <v>2</v>
      </c>
      <c r="E31" s="51" t="s">
        <v>76</v>
      </c>
      <c r="F31" s="55">
        <f>Costeo!J59</f>
        <v>6</v>
      </c>
    </row>
    <row r="32" spans="1:7" ht="13.5" customHeight="1" outlineLevel="1">
      <c r="A32" s="56"/>
      <c r="B32" s="4" t="s">
        <v>37</v>
      </c>
      <c r="D32" s="51">
        <v>1E-3</v>
      </c>
      <c r="E32" s="51" t="s">
        <v>75</v>
      </c>
      <c r="F32" s="57">
        <f>Costeo!J60</f>
        <v>1E-3</v>
      </c>
    </row>
    <row r="33" spans="1:7" ht="5.25" customHeight="1" outlineLevel="1">
      <c r="A33" s="56"/>
      <c r="F33" s="55"/>
    </row>
    <row r="34" spans="1:7" ht="13.5" customHeight="1" outlineLevel="1">
      <c r="A34" s="56"/>
      <c r="B34" s="4" t="s">
        <v>40</v>
      </c>
      <c r="D34" s="51">
        <v>4</v>
      </c>
      <c r="E34" s="51" t="s">
        <v>78</v>
      </c>
      <c r="F34" s="55">
        <f>Costeo!J64</f>
        <v>342.53092293054237</v>
      </c>
    </row>
    <row r="35" spans="1:7" ht="5.25" customHeight="1" outlineLevel="1">
      <c r="A35" s="56"/>
      <c r="F35" s="55"/>
    </row>
    <row r="36" spans="1:7" ht="13.5" customHeight="1" outlineLevel="1">
      <c r="A36" s="56"/>
      <c r="F36" s="59">
        <f>SUM(F27:F35)</f>
        <v>571.83192293054242</v>
      </c>
      <c r="G36" s="51" t="s">
        <v>79</v>
      </c>
    </row>
    <row r="37" spans="1:7" ht="15" customHeight="1">
      <c r="A37" s="60"/>
      <c r="B37" s="61"/>
      <c r="D37" s="62"/>
      <c r="E37" s="62"/>
      <c r="F37" s="63"/>
    </row>
    <row r="38" spans="1:7" ht="15" customHeight="1" outlineLevel="1">
      <c r="A38" s="56"/>
      <c r="F38" s="55"/>
    </row>
    <row r="39" spans="1:7" ht="13.5" customHeight="1" outlineLevel="1">
      <c r="A39" s="56" t="s">
        <v>82</v>
      </c>
      <c r="B39" s="4" t="s">
        <v>32</v>
      </c>
      <c r="D39" s="51">
        <v>0.33</v>
      </c>
      <c r="E39" s="51" t="s">
        <v>75</v>
      </c>
      <c r="F39" s="55">
        <f>Costeo!J55</f>
        <v>313.5</v>
      </c>
    </row>
    <row r="40" spans="1:7" ht="13.5" customHeight="1" outlineLevel="1">
      <c r="A40" s="56"/>
      <c r="B40" s="4" t="s">
        <v>33</v>
      </c>
      <c r="D40" s="51">
        <v>0.02</v>
      </c>
      <c r="E40" s="51" t="s">
        <v>75</v>
      </c>
      <c r="F40" s="55">
        <f>Costeo!J56</f>
        <v>10</v>
      </c>
    </row>
    <row r="41" spans="1:7" ht="13.5" customHeight="1" outlineLevel="1">
      <c r="A41" s="56"/>
      <c r="B41" s="4" t="s">
        <v>34</v>
      </c>
      <c r="D41" s="51">
        <v>2</v>
      </c>
      <c r="E41" s="51" t="s">
        <v>76</v>
      </c>
      <c r="F41" s="55">
        <f>Costeo!J57</f>
        <v>19.8</v>
      </c>
    </row>
    <row r="42" spans="1:7" ht="13.5" customHeight="1" outlineLevel="1">
      <c r="A42" s="56"/>
      <c r="B42" s="4" t="s">
        <v>35</v>
      </c>
      <c r="D42" s="51">
        <v>5.0000000000000001E-3</v>
      </c>
      <c r="E42" s="51" t="s">
        <v>77</v>
      </c>
      <c r="F42" s="55">
        <f>Costeo!J58</f>
        <v>0.45</v>
      </c>
    </row>
    <row r="43" spans="1:7" ht="13.5" customHeight="1" outlineLevel="1">
      <c r="A43" s="56"/>
      <c r="B43" s="4" t="s">
        <v>36</v>
      </c>
      <c r="D43" s="51">
        <v>2</v>
      </c>
      <c r="E43" s="51" t="s">
        <v>76</v>
      </c>
      <c r="F43" s="55">
        <f>Costeo!J59</f>
        <v>6</v>
      </c>
    </row>
    <row r="44" spans="1:7" ht="13.5" customHeight="1" outlineLevel="1">
      <c r="A44" s="56"/>
      <c r="B44" s="4" t="s">
        <v>37</v>
      </c>
      <c r="D44" s="51">
        <v>1E-3</v>
      </c>
      <c r="E44" s="51" t="s">
        <v>75</v>
      </c>
      <c r="F44" s="57">
        <f>Costeo!J60</f>
        <v>1E-3</v>
      </c>
    </row>
    <row r="45" spans="1:7" ht="5.25" customHeight="1" outlineLevel="1">
      <c r="A45" s="56"/>
      <c r="F45" s="55"/>
    </row>
    <row r="46" spans="1:7" ht="13.5" customHeight="1" outlineLevel="1">
      <c r="A46" s="56"/>
      <c r="B46" s="4" t="s">
        <v>41</v>
      </c>
      <c r="D46" s="51">
        <v>4</v>
      </c>
      <c r="E46" s="51" t="s">
        <v>78</v>
      </c>
      <c r="F46" s="55">
        <f>Costeo!J65</f>
        <v>428.16365366317797</v>
      </c>
    </row>
    <row r="47" spans="1:7" ht="5.25" customHeight="1" outlineLevel="1">
      <c r="A47" s="53"/>
      <c r="F47" s="55"/>
    </row>
    <row r="48" spans="1:7" ht="13.5" customHeight="1" outlineLevel="1">
      <c r="A48" s="53"/>
      <c r="F48" s="59">
        <f>SUM(F39:F47)</f>
        <v>777.91465366317789</v>
      </c>
      <c r="G48" s="51" t="s">
        <v>79</v>
      </c>
    </row>
    <row r="49" spans="1:15" ht="15" customHeight="1">
      <c r="A49" s="53"/>
      <c r="B49" s="61"/>
      <c r="C49" s="62"/>
      <c r="D49" s="62"/>
      <c r="E49" s="62"/>
      <c r="F49" s="63"/>
    </row>
    <row r="50" spans="1:15" ht="15" customHeight="1">
      <c r="A50" s="53"/>
      <c r="B50" s="54"/>
      <c r="F50" s="55"/>
    </row>
    <row r="51" spans="1:15" s="53" customFormat="1" ht="24" customHeight="1">
      <c r="A51" s="50"/>
      <c r="B51" s="64" t="s">
        <v>83</v>
      </c>
      <c r="C51" s="65"/>
      <c r="D51" s="66" t="s">
        <v>84</v>
      </c>
      <c r="E51" s="65"/>
      <c r="F51" s="67" t="s">
        <v>85</v>
      </c>
      <c r="G51" s="65"/>
      <c r="H51" s="67" t="s">
        <v>86</v>
      </c>
      <c r="I51" s="65"/>
      <c r="J51" s="67" t="s">
        <v>73</v>
      </c>
      <c r="L51" s="67" t="s">
        <v>87</v>
      </c>
    </row>
    <row r="52" spans="1:15" ht="13.5" customHeight="1">
      <c r="A52" s="302" t="s">
        <v>88</v>
      </c>
      <c r="B52" s="34" t="s">
        <v>29</v>
      </c>
      <c r="D52" s="273">
        <v>2500</v>
      </c>
      <c r="F52" s="274">
        <v>10</v>
      </c>
      <c r="G52" s="51" t="s">
        <v>89</v>
      </c>
      <c r="H52" s="275">
        <v>0.33</v>
      </c>
      <c r="J52" s="68">
        <f t="shared" ref="J52:J60" si="0">(D52/F52)*H52</f>
        <v>82.5</v>
      </c>
      <c r="L52" s="10">
        <f t="shared" ref="L52:L60" si="1">F52/H52</f>
        <v>30.303030303030301</v>
      </c>
    </row>
    <row r="53" spans="1:15" ht="13.5" customHeight="1" outlineLevel="1">
      <c r="A53" s="302"/>
      <c r="B53" s="35" t="s">
        <v>30</v>
      </c>
      <c r="D53" s="273">
        <v>3300</v>
      </c>
      <c r="F53" s="274">
        <v>10</v>
      </c>
      <c r="G53" s="51" t="s">
        <v>89</v>
      </c>
      <c r="H53" s="275">
        <v>0.33</v>
      </c>
      <c r="J53" s="68">
        <f t="shared" si="0"/>
        <v>108.9</v>
      </c>
      <c r="L53" s="10">
        <f t="shared" si="1"/>
        <v>30.303030303030301</v>
      </c>
    </row>
    <row r="54" spans="1:15" ht="13.5" customHeight="1" outlineLevel="1">
      <c r="A54" s="302"/>
      <c r="B54" s="35" t="s">
        <v>31</v>
      </c>
      <c r="D54" s="273">
        <v>5850</v>
      </c>
      <c r="F54" s="274">
        <v>10</v>
      </c>
      <c r="G54" s="51" t="s">
        <v>89</v>
      </c>
      <c r="H54" s="275">
        <v>0.33</v>
      </c>
      <c r="J54" s="68">
        <f t="shared" si="0"/>
        <v>193.05</v>
      </c>
      <c r="L54" s="10">
        <f t="shared" si="1"/>
        <v>30.303030303030301</v>
      </c>
    </row>
    <row r="55" spans="1:15" ht="13.5" customHeight="1" outlineLevel="1">
      <c r="A55" s="302"/>
      <c r="B55" s="35" t="s">
        <v>32</v>
      </c>
      <c r="D55" s="273">
        <v>9500</v>
      </c>
      <c r="F55" s="274">
        <v>10</v>
      </c>
      <c r="G55" s="51" t="s">
        <v>89</v>
      </c>
      <c r="H55" s="275">
        <v>0.33</v>
      </c>
      <c r="J55" s="68">
        <f t="shared" si="0"/>
        <v>313.5</v>
      </c>
      <c r="L55" s="10">
        <f t="shared" si="1"/>
        <v>30.303030303030301</v>
      </c>
    </row>
    <row r="56" spans="1:15" ht="13.5" customHeight="1">
      <c r="A56" s="302"/>
      <c r="B56" s="35" t="s">
        <v>33</v>
      </c>
      <c r="D56" s="273">
        <v>2500</v>
      </c>
      <c r="F56" s="274">
        <v>5</v>
      </c>
      <c r="G56" s="51" t="s">
        <v>89</v>
      </c>
      <c r="H56" s="275">
        <v>0.02</v>
      </c>
      <c r="J56" s="68">
        <f t="shared" si="0"/>
        <v>10</v>
      </c>
      <c r="L56" s="10">
        <f t="shared" si="1"/>
        <v>250</v>
      </c>
    </row>
    <row r="57" spans="1:15" ht="13.5" customHeight="1">
      <c r="A57" s="302"/>
      <c r="B57" s="35" t="s">
        <v>34</v>
      </c>
      <c r="D57" s="273">
        <v>990</v>
      </c>
      <c r="F57" s="274">
        <v>100</v>
      </c>
      <c r="G57" s="51" t="s">
        <v>90</v>
      </c>
      <c r="H57" s="274">
        <v>2</v>
      </c>
      <c r="J57" s="68">
        <f t="shared" si="0"/>
        <v>19.8</v>
      </c>
      <c r="L57" s="10">
        <f t="shared" si="1"/>
        <v>50</v>
      </c>
    </row>
    <row r="58" spans="1:15" ht="13.5" customHeight="1">
      <c r="A58" s="302"/>
      <c r="B58" s="35" t="s">
        <v>35</v>
      </c>
      <c r="D58" s="273">
        <v>900</v>
      </c>
      <c r="F58" s="274">
        <v>10</v>
      </c>
      <c r="G58" s="51" t="s">
        <v>91</v>
      </c>
      <c r="H58" s="276">
        <v>5.0000000000000001E-3</v>
      </c>
      <c r="J58" s="68">
        <f t="shared" si="0"/>
        <v>0.45</v>
      </c>
      <c r="L58" s="10">
        <f t="shared" si="1"/>
        <v>2000</v>
      </c>
    </row>
    <row r="59" spans="1:15" ht="13.5" customHeight="1">
      <c r="A59" s="302"/>
      <c r="B59" s="35" t="s">
        <v>36</v>
      </c>
      <c r="D59" s="273">
        <v>300</v>
      </c>
      <c r="F59" s="274">
        <v>100</v>
      </c>
      <c r="G59" s="51" t="s">
        <v>90</v>
      </c>
      <c r="H59" s="275">
        <v>2</v>
      </c>
      <c r="J59" s="68">
        <f t="shared" si="0"/>
        <v>6</v>
      </c>
      <c r="L59" s="10">
        <f t="shared" si="1"/>
        <v>50</v>
      </c>
    </row>
    <row r="60" spans="1:15" ht="13.5" customHeight="1">
      <c r="A60" s="302"/>
      <c r="B60" s="36" t="s">
        <v>37</v>
      </c>
      <c r="D60" s="273">
        <v>100</v>
      </c>
      <c r="F60" s="274">
        <v>100</v>
      </c>
      <c r="G60" s="51" t="s">
        <v>89</v>
      </c>
      <c r="H60" s="275">
        <v>1E-3</v>
      </c>
      <c r="J60" s="69">
        <f t="shared" si="0"/>
        <v>1E-3</v>
      </c>
      <c r="L60" s="10">
        <f t="shared" si="1"/>
        <v>100000</v>
      </c>
    </row>
    <row r="61" spans="1:15" ht="22.5" customHeight="1">
      <c r="A61" s="70"/>
      <c r="L61" s="1" t="s">
        <v>92</v>
      </c>
      <c r="M61" s="1" t="s">
        <v>93</v>
      </c>
      <c r="N61" s="1" t="s">
        <v>94</v>
      </c>
    </row>
    <row r="62" spans="1:15" ht="13.5" customHeight="1">
      <c r="A62" s="302" t="s">
        <v>95</v>
      </c>
      <c r="B62" s="34" t="s">
        <v>38</v>
      </c>
      <c r="D62" s="71">
        <f>'Presupuesto Anual'!D32*12</f>
        <v>120000</v>
      </c>
      <c r="F62" s="274">
        <v>1</v>
      </c>
      <c r="G62" s="51" t="s">
        <v>96</v>
      </c>
      <c r="H62" s="303">
        <f>'Presupuesto Anual'!Q7</f>
        <v>420.4</v>
      </c>
      <c r="J62" s="68">
        <f>D62/$H$62</f>
        <v>285.44243577545194</v>
      </c>
      <c r="L62" s="72">
        <f>((8*5)*4)*12</f>
        <v>1920</v>
      </c>
      <c r="M62" s="3">
        <f>Costeo!D10</f>
        <v>4</v>
      </c>
      <c r="N62" s="72">
        <f>L62/M62</f>
        <v>480</v>
      </c>
      <c r="O62" s="73">
        <f>N62/12</f>
        <v>40</v>
      </c>
    </row>
    <row r="63" spans="1:15" ht="13.5" customHeight="1" outlineLevel="1">
      <c r="A63" s="302"/>
      <c r="B63" s="35" t="s">
        <v>39</v>
      </c>
      <c r="D63" s="71">
        <f>'Presupuesto Anual'!D33*12</f>
        <v>120000</v>
      </c>
      <c r="F63" s="274">
        <v>1</v>
      </c>
      <c r="G63" s="51" t="s">
        <v>96</v>
      </c>
      <c r="H63" s="303"/>
      <c r="J63" s="68">
        <f>D63/$H$62</f>
        <v>285.44243577545194</v>
      </c>
      <c r="L63" s="72">
        <f>((8*5)*4)*12</f>
        <v>1920</v>
      </c>
      <c r="M63" s="3">
        <f>M62</f>
        <v>4</v>
      </c>
      <c r="N63" s="72">
        <f>'Presupuesto Anual'!Q8</f>
        <v>315.3</v>
      </c>
      <c r="O63" s="73">
        <f>N63/12</f>
        <v>26.275000000000002</v>
      </c>
    </row>
    <row r="64" spans="1:15" ht="13.5" customHeight="1" outlineLevel="1">
      <c r="A64" s="302"/>
      <c r="B64" s="35" t="s">
        <v>40</v>
      </c>
      <c r="D64" s="71">
        <f>'Presupuesto Anual'!D34*12</f>
        <v>144000</v>
      </c>
      <c r="F64" s="274">
        <v>1</v>
      </c>
      <c r="G64" s="51" t="s">
        <v>96</v>
      </c>
      <c r="H64" s="303"/>
      <c r="J64" s="68">
        <f>D64/$H$62</f>
        <v>342.53092293054237</v>
      </c>
      <c r="L64" s="72">
        <f>((8*5)*4)*12</f>
        <v>1920</v>
      </c>
      <c r="M64" s="3">
        <f>M62</f>
        <v>4</v>
      </c>
      <c r="N64" s="72">
        <f>'Presupuesto Anual'!Q9</f>
        <v>210.2</v>
      </c>
      <c r="O64" s="73">
        <f>N64/12</f>
        <v>17.516666666666666</v>
      </c>
    </row>
    <row r="65" spans="1:15" ht="13.5" customHeight="1" outlineLevel="1">
      <c r="A65" s="302"/>
      <c r="B65" s="36" t="s">
        <v>41</v>
      </c>
      <c r="D65" s="71">
        <f>'Presupuesto Anual'!D35*12</f>
        <v>180000</v>
      </c>
      <c r="F65" s="274">
        <v>1</v>
      </c>
      <c r="G65" s="51" t="s">
        <v>96</v>
      </c>
      <c r="H65" s="303"/>
      <c r="J65" s="68">
        <f>D65/$H$62</f>
        <v>428.16365366317797</v>
      </c>
      <c r="L65" s="72">
        <f>((8*5)*4)*12</f>
        <v>1920</v>
      </c>
      <c r="M65" s="3">
        <f>M63</f>
        <v>4</v>
      </c>
      <c r="N65" s="72">
        <f>'Presupuesto Anual'!Q10</f>
        <v>105.1</v>
      </c>
      <c r="O65" s="73">
        <f>N65/12</f>
        <v>8.7583333333333329</v>
      </c>
    </row>
    <row r="66" spans="1:15" ht="13.5" customHeight="1">
      <c r="M66" s="4" t="s">
        <v>97</v>
      </c>
      <c r="N66" s="74">
        <f>SUM(N62:N65)</f>
        <v>1110.5999999999999</v>
      </c>
      <c r="O66" s="51" t="s">
        <v>98</v>
      </c>
    </row>
    <row r="67" spans="1:15" ht="15" customHeight="1">
      <c r="B67" s="38" t="s">
        <v>42</v>
      </c>
      <c r="D67" s="277">
        <v>3500</v>
      </c>
      <c r="F67" s="10">
        <v>1</v>
      </c>
      <c r="G67" s="51" t="s">
        <v>99</v>
      </c>
      <c r="H67" s="10">
        <f>H62</f>
        <v>420.4</v>
      </c>
      <c r="J67" s="68">
        <f>D67/H67</f>
        <v>8.3254043767840162</v>
      </c>
      <c r="M67" s="4" t="s">
        <v>100</v>
      </c>
      <c r="N67" s="75">
        <f>'Presupuesto Anual'!Q11</f>
        <v>1051</v>
      </c>
    </row>
    <row r="68" spans="1:15" ht="15" customHeight="1">
      <c r="M68" s="4" t="s">
        <v>101</v>
      </c>
      <c r="N68" s="76">
        <f>N66-N67</f>
        <v>59.599999999999909</v>
      </c>
      <c r="O68" s="28">
        <f>N68/N66</f>
        <v>5.366468575544743E-2</v>
      </c>
    </row>
    <row r="69" spans="1:15" ht="13.5" customHeight="1">
      <c r="B69" s="51"/>
      <c r="J69" s="77">
        <f>SUM(J52:J68)</f>
        <v>2084.105852521408</v>
      </c>
    </row>
    <row r="70" spans="1:15" ht="15" customHeight="1">
      <c r="B70" s="61"/>
      <c r="C70" s="62"/>
      <c r="D70" s="62"/>
      <c r="E70" s="62"/>
      <c r="F70" s="62"/>
      <c r="G70" s="62"/>
      <c r="H70" s="62"/>
      <c r="I70" s="62"/>
      <c r="J70" s="62"/>
      <c r="K70" s="54"/>
    </row>
    <row r="71" spans="1:15" ht="15" customHeight="1">
      <c r="K71" s="54"/>
    </row>
  </sheetData>
  <mergeCells count="5">
    <mergeCell ref="A1:B1"/>
    <mergeCell ref="C1:E1"/>
    <mergeCell ref="A52:A60"/>
    <mergeCell ref="A62:A65"/>
    <mergeCell ref="H62:H65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2"/>
  <sheetViews>
    <sheetView showGridLines="0" zoomScale="130" zoomScaleNormal="130" workbookViewId="0">
      <selection activeCell="C10" sqref="C10"/>
    </sheetView>
  </sheetViews>
  <sheetFormatPr baseColWidth="10" defaultColWidth="13" defaultRowHeight="14"/>
  <cols>
    <col min="1" max="1" width="7.796875" style="51" customWidth="1"/>
    <col min="2" max="2" width="48" style="51" customWidth="1"/>
    <col min="3" max="4" width="20.19921875" style="51" customWidth="1"/>
    <col min="5" max="5" width="6.3984375" style="51" customWidth="1"/>
    <col min="6" max="6" width="12.19921875" style="51" customWidth="1"/>
    <col min="7" max="7" width="2.59765625" style="51" customWidth="1"/>
    <col min="8" max="16384" width="13" style="51"/>
  </cols>
  <sheetData>
    <row r="1" spans="1:10" ht="22.5" customHeight="1">
      <c r="B1" s="304" t="s">
        <v>102</v>
      </c>
      <c r="C1" s="304"/>
      <c r="D1" s="304"/>
      <c r="E1" s="304"/>
      <c r="F1" s="304"/>
      <c r="G1" s="304"/>
      <c r="H1" s="304"/>
      <c r="I1" s="304"/>
      <c r="J1" s="304"/>
    </row>
    <row r="2" spans="1:10" ht="13.5" customHeight="1">
      <c r="A2" s="50"/>
      <c r="B2" s="4"/>
    </row>
    <row r="3" spans="1:10" ht="13.5" customHeight="1">
      <c r="A3" s="2"/>
      <c r="C3" s="78"/>
    </row>
    <row r="4" spans="1:10" ht="13.5" customHeight="1">
      <c r="A4" s="2"/>
      <c r="B4" s="305" t="s">
        <v>103</v>
      </c>
      <c r="C4" s="305"/>
      <c r="J4" s="79"/>
    </row>
    <row r="5" spans="1:10" ht="13.5" customHeight="1">
      <c r="A5" s="2"/>
      <c r="B5" s="2"/>
      <c r="C5" s="2" t="s">
        <v>110</v>
      </c>
      <c r="D5" s="2" t="s">
        <v>18</v>
      </c>
    </row>
    <row r="6" spans="1:10" ht="13.5" customHeight="1">
      <c r="A6" s="2"/>
      <c r="B6" s="80" t="s">
        <v>104</v>
      </c>
      <c r="C6" s="278">
        <v>50000</v>
      </c>
      <c r="D6" s="278">
        <v>120000</v>
      </c>
    </row>
    <row r="7" spans="1:10" ht="13.5" customHeight="1">
      <c r="A7" s="2"/>
      <c r="B7" s="81" t="s">
        <v>105</v>
      </c>
      <c r="C7" s="279">
        <v>35000</v>
      </c>
      <c r="D7" s="279">
        <v>100000</v>
      </c>
    </row>
    <row r="8" spans="1:10" ht="13.5" customHeight="1">
      <c r="A8" s="2"/>
      <c r="B8" s="80" t="s">
        <v>106</v>
      </c>
      <c r="C8" s="278">
        <v>15000</v>
      </c>
      <c r="D8" s="278">
        <v>40000</v>
      </c>
    </row>
    <row r="9" spans="1:10" ht="13.5" customHeight="1">
      <c r="A9" s="2"/>
      <c r="B9" s="82" t="s">
        <v>107</v>
      </c>
      <c r="C9" s="280">
        <v>25000</v>
      </c>
      <c r="D9" s="280">
        <v>40000</v>
      </c>
    </row>
    <row r="10" spans="1:10" ht="13.5" customHeight="1">
      <c r="A10" s="2"/>
      <c r="B10" s="80" t="s">
        <v>108</v>
      </c>
      <c r="C10" s="278"/>
      <c r="D10" s="278">
        <v>20000</v>
      </c>
    </row>
    <row r="11" spans="1:10" ht="13.5" customHeight="1">
      <c r="A11" s="2"/>
      <c r="C11" s="78">
        <f>SUM(C6:C10)</f>
        <v>125000</v>
      </c>
      <c r="D11" s="78">
        <f>SUM(D6:D10)</f>
        <v>320000</v>
      </c>
    </row>
    <row r="12" spans="1:10" ht="15" customHeight="1">
      <c r="A12" s="83"/>
      <c r="B12" s="84"/>
      <c r="C12" s="85"/>
      <c r="D12" s="84"/>
      <c r="E12" s="84"/>
      <c r="F12" s="84"/>
      <c r="G12" s="84"/>
      <c r="H12" s="84"/>
      <c r="I12" s="84"/>
      <c r="J12" s="84"/>
    </row>
    <row r="13" spans="1:10" ht="15" customHeight="1">
      <c r="A13" s="2"/>
      <c r="B13" s="305" t="s">
        <v>109</v>
      </c>
      <c r="C13" s="305"/>
    </row>
    <row r="14" spans="1:10" ht="13.5" customHeight="1">
      <c r="A14" s="2"/>
      <c r="B14" s="2"/>
      <c r="C14" s="2"/>
    </row>
    <row r="15" spans="1:10" ht="13.5" customHeight="1">
      <c r="A15" s="2"/>
      <c r="B15" s="2"/>
      <c r="C15" s="2" t="s">
        <v>110</v>
      </c>
      <c r="D15" s="2" t="s">
        <v>18</v>
      </c>
    </row>
    <row r="16" spans="1:10" ht="13.5" customHeight="1">
      <c r="A16" s="2"/>
      <c r="B16" s="51" t="s">
        <v>111</v>
      </c>
      <c r="C16" s="281">
        <v>20500</v>
      </c>
      <c r="D16" s="281">
        <v>35000</v>
      </c>
      <c r="E16" s="51" t="s">
        <v>112</v>
      </c>
    </row>
    <row r="17" spans="1:10" ht="13.5" customHeight="1">
      <c r="A17" s="2"/>
      <c r="B17" s="51" t="s">
        <v>113</v>
      </c>
      <c r="C17" s="281">
        <v>5000</v>
      </c>
      <c r="D17" s="281">
        <v>10000</v>
      </c>
    </row>
    <row r="18" spans="1:10" ht="13.5" customHeight="1">
      <c r="A18" s="2"/>
      <c r="B18" s="51" t="s">
        <v>114</v>
      </c>
      <c r="C18" s="281">
        <v>7000</v>
      </c>
      <c r="D18" s="281">
        <v>7000</v>
      </c>
    </row>
    <row r="19" spans="1:10" ht="13.5" customHeight="1">
      <c r="A19" s="2"/>
      <c r="B19" s="51" t="s">
        <v>115</v>
      </c>
      <c r="C19" s="281">
        <v>1900</v>
      </c>
      <c r="D19" s="281">
        <v>1900</v>
      </c>
    </row>
    <row r="20" spans="1:10" ht="15" customHeight="1">
      <c r="A20" s="2"/>
      <c r="B20" s="51" t="s">
        <v>116</v>
      </c>
      <c r="C20" s="282">
        <v>0</v>
      </c>
      <c r="D20" s="282">
        <v>5000</v>
      </c>
    </row>
    <row r="21" spans="1:10" ht="13.5" customHeight="1">
      <c r="A21" s="2"/>
      <c r="C21" s="78">
        <f>SUM(C16:C20)</f>
        <v>34400</v>
      </c>
      <c r="D21" s="78">
        <f>SUM(D16:D20)</f>
        <v>58900</v>
      </c>
    </row>
    <row r="22" spans="1:10" ht="15" customHeight="1">
      <c r="A22" s="2"/>
      <c r="B22" s="84"/>
      <c r="C22" s="85"/>
      <c r="D22" s="84"/>
      <c r="E22" s="84"/>
      <c r="F22" s="84"/>
      <c r="G22" s="84"/>
      <c r="H22" s="84"/>
      <c r="I22" s="84"/>
      <c r="J22" s="84"/>
    </row>
    <row r="23" spans="1:10" ht="15" customHeight="1">
      <c r="A23" s="2"/>
      <c r="C23" s="78"/>
    </row>
    <row r="24" spans="1:10" ht="13.5" customHeight="1">
      <c r="A24" s="2"/>
      <c r="B24" s="305" t="s">
        <v>117</v>
      </c>
      <c r="C24" s="305"/>
    </row>
    <row r="25" spans="1:10" ht="13.5" customHeight="1">
      <c r="A25" s="2"/>
      <c r="B25" s="2"/>
      <c r="C25" s="2" t="s">
        <v>16</v>
      </c>
      <c r="D25" s="2" t="s">
        <v>18</v>
      </c>
    </row>
    <row r="26" spans="1:10" ht="13.5" customHeight="1">
      <c r="A26" s="2"/>
      <c r="B26" s="51" t="s">
        <v>118</v>
      </c>
      <c r="C26" s="281">
        <v>25000</v>
      </c>
      <c r="D26" s="281">
        <v>40000</v>
      </c>
    </row>
    <row r="28" spans="1:10" ht="15.75" customHeight="1">
      <c r="B28" s="56" t="s">
        <v>119</v>
      </c>
      <c r="C28" s="86" t="s">
        <v>120</v>
      </c>
    </row>
    <row r="29" spans="1:10" ht="15" customHeight="1">
      <c r="B29" s="54" t="s">
        <v>314</v>
      </c>
      <c r="C29" s="283">
        <v>3.5</v>
      </c>
    </row>
    <row r="30" spans="1:10" ht="13.5" customHeight="1">
      <c r="B30" s="54"/>
    </row>
    <row r="31" spans="1:10" ht="15.75" customHeight="1">
      <c r="B31" s="56" t="s">
        <v>121</v>
      </c>
      <c r="C31" s="86" t="s">
        <v>120</v>
      </c>
    </row>
    <row r="32" spans="1:10" ht="15" customHeight="1">
      <c r="B32" s="54" t="s">
        <v>314</v>
      </c>
      <c r="C32" s="283">
        <v>12</v>
      </c>
    </row>
    <row r="33" spans="2:11" ht="15" customHeight="1" thickBot="1">
      <c r="B33" s="62"/>
      <c r="C33" s="62"/>
      <c r="D33" s="62"/>
    </row>
    <row r="34" spans="2:11" ht="15" customHeight="1" thickTop="1"/>
    <row r="35" spans="2:11" ht="13.5" customHeight="1">
      <c r="J35" s="306" t="s">
        <v>122</v>
      </c>
      <c r="K35" s="306"/>
    </row>
    <row r="36" spans="2:11" ht="15.75" customHeight="1">
      <c r="B36" s="15" t="s">
        <v>123</v>
      </c>
      <c r="C36" s="53"/>
      <c r="D36" s="86" t="s">
        <v>124</v>
      </c>
      <c r="F36" s="8" t="s">
        <v>125</v>
      </c>
      <c r="G36" s="53"/>
      <c r="H36" s="8" t="s">
        <v>126</v>
      </c>
      <c r="J36" s="51" t="s">
        <v>127</v>
      </c>
      <c r="K36" s="4">
        <v>3</v>
      </c>
    </row>
    <row r="37" spans="2:11" ht="15" customHeight="1">
      <c r="B37" s="4" t="s">
        <v>128</v>
      </c>
      <c r="D37" s="283">
        <v>140000</v>
      </c>
      <c r="F37" s="87">
        <f>D37/K39</f>
        <v>14000</v>
      </c>
      <c r="H37" s="55">
        <f>F37/12</f>
        <v>1166.6666666666667</v>
      </c>
      <c r="J37" s="51" t="s">
        <v>129</v>
      </c>
      <c r="K37" s="4">
        <v>5</v>
      </c>
    </row>
    <row r="38" spans="2:11" ht="15" customHeight="1">
      <c r="B38" s="4" t="s">
        <v>130</v>
      </c>
      <c r="D38" s="283">
        <v>140000</v>
      </c>
      <c r="F38" s="87">
        <f>D38/K39</f>
        <v>14000</v>
      </c>
      <c r="H38" s="55">
        <f>F38/12</f>
        <v>1166.6666666666667</v>
      </c>
      <c r="J38" s="51" t="s">
        <v>131</v>
      </c>
      <c r="K38" s="4">
        <v>10</v>
      </c>
    </row>
    <row r="39" spans="2:11" ht="13.5" customHeight="1">
      <c r="J39" s="51" t="s">
        <v>132</v>
      </c>
      <c r="K39" s="4">
        <v>10</v>
      </c>
    </row>
    <row r="40" spans="2:11" ht="15.75" customHeight="1">
      <c r="B40" s="15" t="s">
        <v>133</v>
      </c>
      <c r="C40" s="53"/>
      <c r="D40" s="86" t="s">
        <v>120</v>
      </c>
      <c r="K40" s="4"/>
    </row>
    <row r="41" spans="2:11" ht="15" customHeight="1">
      <c r="B41" s="4" t="s">
        <v>134</v>
      </c>
      <c r="D41" s="283">
        <v>127000</v>
      </c>
      <c r="F41" s="87">
        <f>D41/K39</f>
        <v>12700</v>
      </c>
      <c r="H41" s="55">
        <f>F41/12</f>
        <v>1058.3333333333333</v>
      </c>
    </row>
    <row r="42" spans="2:11" ht="15" customHeight="1">
      <c r="B42" s="62"/>
      <c r="C42" s="62"/>
      <c r="D42" s="62"/>
      <c r="E42" s="62"/>
      <c r="F42" s="62"/>
      <c r="G42" s="62"/>
      <c r="H42" s="62"/>
      <c r="I42" s="62"/>
      <c r="J42" s="62"/>
    </row>
    <row r="43" spans="2:11" ht="15" customHeight="1"/>
    <row r="44" spans="2:11" ht="15.75" customHeight="1">
      <c r="B44" s="15" t="s">
        <v>135</v>
      </c>
      <c r="C44" s="53"/>
      <c r="D44" s="86" t="s">
        <v>124</v>
      </c>
      <c r="F44" s="8"/>
      <c r="G44" s="53"/>
      <c r="H44" s="8" t="s">
        <v>136</v>
      </c>
    </row>
    <row r="45" spans="2:11" ht="15" customHeight="1">
      <c r="B45" s="4"/>
      <c r="D45" s="283">
        <v>35000</v>
      </c>
      <c r="F45" s="87"/>
      <c r="H45" s="55">
        <f>D45/12</f>
        <v>2916.6666666666665</v>
      </c>
    </row>
    <row r="47" spans="2:11" ht="15.75" customHeight="1">
      <c r="B47" s="15" t="s">
        <v>137</v>
      </c>
      <c r="C47" s="53"/>
      <c r="D47" s="86" t="s">
        <v>120</v>
      </c>
    </row>
    <row r="48" spans="2:11" ht="15" customHeight="1">
      <c r="B48" s="4"/>
      <c r="D48" s="283">
        <v>65000</v>
      </c>
      <c r="F48" s="87"/>
      <c r="H48" s="55">
        <f>D48/12</f>
        <v>5416.666666666667</v>
      </c>
    </row>
    <row r="50" spans="1:3" ht="15" customHeight="1"/>
    <row r="62" spans="1:3" ht="13.5" customHeight="1">
      <c r="A62" s="2"/>
      <c r="C62" s="78"/>
    </row>
  </sheetData>
  <mergeCells count="5">
    <mergeCell ref="B1:J1"/>
    <mergeCell ref="B4:C4"/>
    <mergeCell ref="B13:C13"/>
    <mergeCell ref="B24:C24"/>
    <mergeCell ref="J35:K3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"/>
  <sheetViews>
    <sheetView showGridLines="0" zoomScale="140" zoomScaleNormal="140" workbookViewId="0">
      <selection sqref="A1:B1"/>
    </sheetView>
  </sheetViews>
  <sheetFormatPr baseColWidth="10" defaultColWidth="13" defaultRowHeight="14"/>
  <cols>
    <col min="1" max="1" width="9.3984375" style="91" customWidth="1"/>
    <col min="2" max="2" width="20.796875" style="4" customWidth="1"/>
    <col min="3" max="3" width="3.19921875" style="51" customWidth="1"/>
    <col min="4" max="4" width="19.19921875" style="51" customWidth="1"/>
    <col min="5" max="5" width="3.19921875" style="51" customWidth="1"/>
    <col min="6" max="6" width="19.19921875" style="51" customWidth="1"/>
    <col min="7" max="7" width="3.19921875" style="51" customWidth="1"/>
    <col min="8" max="8" width="19.796875" style="51" customWidth="1"/>
    <col min="9" max="9" width="3.19921875" style="51" customWidth="1"/>
    <col min="10" max="10" width="19.796875" style="51" customWidth="1"/>
    <col min="11" max="11" width="2.796875" style="51" customWidth="1"/>
    <col min="12" max="12" width="19.796875" style="51" customWidth="1"/>
    <col min="13" max="13" width="2.796875" style="51" customWidth="1"/>
    <col min="14" max="14" width="19.796875" style="51" customWidth="1"/>
    <col min="15" max="15" width="2.59765625" style="51" customWidth="1"/>
    <col min="16" max="16" width="16.796875" style="51" customWidth="1"/>
    <col min="17" max="17" width="2.59765625" style="51" customWidth="1"/>
    <col min="18" max="18" width="17.3984375" style="51" customWidth="1"/>
    <col min="19" max="16384" width="13" style="51"/>
  </cols>
  <sheetData>
    <row r="1" spans="1:16" ht="13.5" customHeight="1">
      <c r="A1" s="298"/>
      <c r="B1" s="298"/>
    </row>
    <row r="2" spans="1:16" ht="33" customHeight="1">
      <c r="D2" s="92" t="s">
        <v>141</v>
      </c>
      <c r="F2" s="1" t="s">
        <v>142</v>
      </c>
      <c r="G2" s="1"/>
      <c r="H2" s="93" t="s">
        <v>143</v>
      </c>
      <c r="J2" s="94" t="s">
        <v>144</v>
      </c>
      <c r="L2" s="1" t="s">
        <v>145</v>
      </c>
      <c r="N2" s="1" t="s">
        <v>146</v>
      </c>
      <c r="P2" s="1" t="s">
        <v>147</v>
      </c>
    </row>
    <row r="3" spans="1:16" ht="13.5" customHeight="1">
      <c r="B3" s="4" t="str">
        <f>Costeo!A3</f>
        <v>MODELO 1</v>
      </c>
      <c r="D3" s="71">
        <f>Costeo!F12</f>
        <v>404.19343577545192</v>
      </c>
      <c r="F3" s="71">
        <f>$H$14</f>
        <v>2120.908658420552</v>
      </c>
      <c r="G3" s="95"/>
      <c r="H3" s="96">
        <f>D3/F3</f>
        <v>0.19057559794982221</v>
      </c>
      <c r="J3" s="71">
        <f>D3+F3</f>
        <v>2525.1020941960041</v>
      </c>
      <c r="L3" s="97">
        <v>0.15</v>
      </c>
      <c r="N3" s="98">
        <f>J3*(1+L3)</f>
        <v>2903.8674083254045</v>
      </c>
      <c r="P3" s="284">
        <v>3500</v>
      </c>
    </row>
    <row r="4" spans="1:16" ht="13.5" customHeight="1">
      <c r="B4" s="4" t="str">
        <f>Costeo!A15</f>
        <v>MODELO 2</v>
      </c>
      <c r="D4" s="71">
        <f>Costeo!F24</f>
        <v>430.59343577545195</v>
      </c>
      <c r="F4" s="71">
        <f>$H$14</f>
        <v>2120.908658420552</v>
      </c>
      <c r="G4" s="95"/>
      <c r="H4" s="96">
        <f>F4/D4-1</f>
        <v>3.9255480511471941</v>
      </c>
      <c r="J4" s="71">
        <f>D4+F4</f>
        <v>2551.5020941960038</v>
      </c>
      <c r="L4" s="97">
        <v>0.15</v>
      </c>
      <c r="N4" s="98">
        <f>J4*(1+L4)</f>
        <v>2934.2274083254042</v>
      </c>
      <c r="P4" s="284">
        <v>3500</v>
      </c>
    </row>
    <row r="5" spans="1:16" ht="13.5" customHeight="1">
      <c r="B5" s="4" t="str">
        <f>Costeo!A27</f>
        <v>MODELO 3</v>
      </c>
      <c r="D5" s="71">
        <f>Costeo!F36</f>
        <v>571.83192293054242</v>
      </c>
      <c r="F5" s="71">
        <f>$H$14</f>
        <v>2120.908658420552</v>
      </c>
      <c r="G5" s="95"/>
      <c r="H5" s="96">
        <f>F5/D5-1</f>
        <v>2.7089721181553696</v>
      </c>
      <c r="J5" s="71">
        <f>D5+F5</f>
        <v>2692.7405813510945</v>
      </c>
      <c r="L5" s="97">
        <v>0.2</v>
      </c>
      <c r="N5" s="98">
        <f>J5*(1+L5)</f>
        <v>3231.2886976213135</v>
      </c>
      <c r="P5" s="284">
        <v>4000</v>
      </c>
    </row>
    <row r="6" spans="1:16" ht="13.5" customHeight="1">
      <c r="B6" s="4" t="str">
        <f>Costeo!A39</f>
        <v>MODELO 4</v>
      </c>
      <c r="D6" s="71">
        <f>Costeo!F48</f>
        <v>777.91465366317789</v>
      </c>
      <c r="F6" s="71">
        <f>$H$14</f>
        <v>2120.908658420552</v>
      </c>
      <c r="G6" s="95"/>
      <c r="H6" s="96">
        <f>F6/D6-1</f>
        <v>1.7264027595228519</v>
      </c>
      <c r="J6" s="71">
        <f>D6+F6</f>
        <v>2898.8233120837299</v>
      </c>
      <c r="L6" s="97">
        <v>0.25</v>
      </c>
      <c r="N6" s="98">
        <f>J6*(1+L6)</f>
        <v>3623.5291401046625</v>
      </c>
      <c r="P6" s="284">
        <v>4500</v>
      </c>
    </row>
    <row r="7" spans="1:16" ht="15" customHeight="1">
      <c r="B7" s="61"/>
      <c r="C7" s="62"/>
      <c r="D7" s="62"/>
      <c r="E7" s="62"/>
      <c r="F7" s="99"/>
      <c r="G7" s="62"/>
      <c r="H7" s="62"/>
      <c r="I7" s="62"/>
      <c r="J7" s="62"/>
      <c r="K7" s="54"/>
      <c r="L7" s="62"/>
      <c r="M7" s="54"/>
      <c r="N7" s="62"/>
    </row>
    <row r="8" spans="1:16" ht="15" customHeight="1">
      <c r="K8" s="54"/>
      <c r="M8" s="54"/>
    </row>
    <row r="9" spans="1:16" s="53" customFormat="1" ht="30" customHeight="1">
      <c r="A9" s="50"/>
      <c r="B9" s="15"/>
      <c r="D9" s="86" t="s">
        <v>120</v>
      </c>
      <c r="F9" s="86" t="s">
        <v>148</v>
      </c>
      <c r="H9" s="86" t="s">
        <v>149</v>
      </c>
      <c r="J9" s="51"/>
      <c r="L9" s="51"/>
      <c r="N9" s="51"/>
    </row>
    <row r="10" spans="1:16" ht="13.5" customHeight="1">
      <c r="B10" s="4" t="s">
        <v>103</v>
      </c>
      <c r="D10" s="71">
        <f>'Presupuesto Anual'!Q46</f>
        <v>1500000</v>
      </c>
      <c r="F10" s="307">
        <f>'Presupuesto Anual'!Q11</f>
        <v>1051</v>
      </c>
      <c r="H10" s="100">
        <f>D10/$F$10</f>
        <v>1427.2121788772597</v>
      </c>
    </row>
    <row r="11" spans="1:16" ht="13.5" customHeight="1">
      <c r="B11" s="4" t="str">
        <f>'Presupuesto Anual'!B48</f>
        <v>GASTOS OPERATIVOS</v>
      </c>
      <c r="D11" s="71">
        <f>'Presupuesto Anual'!Q48</f>
        <v>412800</v>
      </c>
      <c r="F11" s="307"/>
      <c r="H11" s="100">
        <f>D11/$F$10</f>
        <v>392.76879162702187</v>
      </c>
    </row>
    <row r="12" spans="1:16" ht="13.5" customHeight="1">
      <c r="B12" s="4" t="s">
        <v>150</v>
      </c>
      <c r="D12" s="71">
        <f>'Presupuesto Anual'!Q51+'Presupuesto Anual'!Q52+'Presupuesto Anual'!Q53</f>
        <v>316275</v>
      </c>
      <c r="F12" s="307"/>
      <c r="H12" s="100">
        <f>D12/$F$10</f>
        <v>300.9276879162702</v>
      </c>
    </row>
    <row r="14" spans="1:16" ht="13.5" customHeight="1">
      <c r="B14" s="15" t="s">
        <v>151</v>
      </c>
      <c r="D14" s="100">
        <f>SUM(D10:D13)</f>
        <v>2229075</v>
      </c>
      <c r="H14" s="77">
        <f>SUM(H10:H13)</f>
        <v>2120.908658420552</v>
      </c>
    </row>
    <row r="15" spans="1:16" ht="13.5" customHeight="1">
      <c r="B15" s="15"/>
      <c r="D15" s="87"/>
      <c r="H15" s="101"/>
    </row>
    <row r="16" spans="1:16" ht="15" customHeight="1">
      <c r="B16" s="61"/>
      <c r="C16" s="62"/>
      <c r="D16" s="62"/>
      <c r="E16" s="62"/>
      <c r="F16" s="62"/>
      <c r="G16" s="62"/>
      <c r="H16" s="62"/>
      <c r="I16" s="62"/>
      <c r="K16" s="54"/>
      <c r="M16" s="54"/>
    </row>
    <row r="17" spans="11:13" ht="15" customHeight="1">
      <c r="K17" s="54"/>
      <c r="M17" s="54"/>
    </row>
  </sheetData>
  <mergeCells count="2">
    <mergeCell ref="A1:B1"/>
    <mergeCell ref="F10:F12"/>
  </mergeCell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2"/>
  <sheetViews>
    <sheetView showGridLines="0" zoomScaleNormal="100" workbookViewId="0">
      <selection activeCell="Q37" sqref="Q37"/>
    </sheetView>
  </sheetViews>
  <sheetFormatPr baseColWidth="10" defaultColWidth="10.796875" defaultRowHeight="14"/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6A6A6"/>
    <pageSetUpPr fitToPage="1"/>
  </sheetPr>
  <dimension ref="A1:I131"/>
  <sheetViews>
    <sheetView showGridLines="0" zoomScale="120" zoomScaleNormal="120" workbookViewId="0">
      <pane ySplit="10" topLeftCell="A11" activePane="bottomLeft" state="frozen"/>
      <selection pane="bottomLeft"/>
    </sheetView>
  </sheetViews>
  <sheetFormatPr baseColWidth="10" defaultColWidth="13" defaultRowHeight="13"/>
  <cols>
    <col min="1" max="1" width="13" style="102"/>
    <col min="2" max="2" width="9.3984375" style="103" customWidth="1"/>
    <col min="3" max="3" width="26.59765625" style="104" customWidth="1"/>
    <col min="4" max="6" width="24.59765625" style="104" customWidth="1"/>
    <col min="7" max="7" width="23.59765625" style="104" customWidth="1"/>
    <col min="8" max="8" width="13" style="104"/>
    <col min="9" max="9" width="19.796875" style="104" customWidth="1"/>
    <col min="10" max="10" width="18.59765625" style="104" customWidth="1"/>
    <col min="11" max="16384" width="13" style="104"/>
  </cols>
  <sheetData>
    <row r="1" spans="1:8" ht="30" customHeight="1">
      <c r="A1" s="105"/>
      <c r="C1" s="308" t="s">
        <v>152</v>
      </c>
      <c r="D1" s="308"/>
    </row>
    <row r="2" spans="1:8" ht="12.75" customHeight="1">
      <c r="C2" s="308"/>
      <c r="D2" s="308"/>
    </row>
    <row r="3" spans="1:8" ht="13.5" customHeight="1">
      <c r="C3" s="285" t="s">
        <v>153</v>
      </c>
      <c r="D3" s="286">
        <v>500000</v>
      </c>
    </row>
    <row r="4" spans="1:8" ht="13.5" customHeight="1">
      <c r="C4" s="287" t="s">
        <v>154</v>
      </c>
      <c r="D4" s="288">
        <v>0.15</v>
      </c>
    </row>
    <row r="5" spans="1:8" ht="13.5" hidden="1" customHeight="1">
      <c r="C5" s="289" t="s">
        <v>155</v>
      </c>
      <c r="D5" s="290">
        <f>D4/12</f>
        <v>1.2499999999999999E-2</v>
      </c>
    </row>
    <row r="6" spans="1:8" ht="13.5" hidden="1" customHeight="1">
      <c r="C6" s="291" t="s">
        <v>156</v>
      </c>
      <c r="D6" s="292">
        <f>D7*12</f>
        <v>36</v>
      </c>
    </row>
    <row r="7" spans="1:8" ht="13.5" customHeight="1">
      <c r="C7" s="285" t="s">
        <v>157</v>
      </c>
      <c r="D7" s="293">
        <v>3</v>
      </c>
    </row>
    <row r="8" spans="1:8" ht="13.5" hidden="1" customHeight="1">
      <c r="C8" s="106" t="s">
        <v>158</v>
      </c>
      <c r="D8" s="107">
        <f>D3/D6</f>
        <v>13888.888888888889</v>
      </c>
    </row>
    <row r="10" spans="1:8" ht="34.5" customHeight="1">
      <c r="A10" s="108" t="s">
        <v>159</v>
      </c>
      <c r="B10" s="109" t="s">
        <v>160</v>
      </c>
      <c r="C10" s="109" t="s">
        <v>161</v>
      </c>
      <c r="D10" s="109" t="s">
        <v>162</v>
      </c>
      <c r="E10" s="110" t="s">
        <v>163</v>
      </c>
      <c r="F10" s="109" t="s">
        <v>164</v>
      </c>
      <c r="G10" s="109" t="s">
        <v>165</v>
      </c>
      <c r="H10" s="109" t="s">
        <v>166</v>
      </c>
    </row>
    <row r="11" spans="1:8" ht="14.25" customHeight="1">
      <c r="B11" s="111">
        <v>0</v>
      </c>
      <c r="C11" s="112"/>
      <c r="D11" s="112"/>
      <c r="E11" s="112"/>
      <c r="F11" s="113">
        <f>D3</f>
        <v>500000</v>
      </c>
    </row>
    <row r="12" spans="1:8" ht="13.5" customHeight="1">
      <c r="B12" s="111" t="s">
        <v>167</v>
      </c>
      <c r="C12" s="114">
        <f t="shared" ref="C12:C43" si="0">F11*$D$5</f>
        <v>6249.9999999999991</v>
      </c>
      <c r="D12" s="115">
        <f>D8</f>
        <v>13888.888888888889</v>
      </c>
      <c r="E12" s="114">
        <f t="shared" ref="E12:E43" si="1">C12+D12</f>
        <v>20138.888888888887</v>
      </c>
      <c r="F12" s="112">
        <f>$F$11-D12</f>
        <v>486111.11111111112</v>
      </c>
    </row>
    <row r="13" spans="1:8" ht="13.5" customHeight="1">
      <c r="B13" s="111" t="s">
        <v>168</v>
      </c>
      <c r="C13" s="114">
        <f t="shared" si="0"/>
        <v>6076.3888888888887</v>
      </c>
      <c r="D13" s="114">
        <f t="shared" ref="D13:D44" si="2">D12</f>
        <v>13888.888888888889</v>
      </c>
      <c r="E13" s="114">
        <f t="shared" si="1"/>
        <v>19965.277777777777</v>
      </c>
      <c r="F13" s="114">
        <f t="shared" ref="F13:F44" si="3">F12-D13</f>
        <v>472222.22222222225</v>
      </c>
    </row>
    <row r="14" spans="1:8" ht="13.5" customHeight="1">
      <c r="B14" s="111" t="s">
        <v>169</v>
      </c>
      <c r="C14" s="114">
        <f t="shared" si="0"/>
        <v>5902.7777777777774</v>
      </c>
      <c r="D14" s="114">
        <f t="shared" si="2"/>
        <v>13888.888888888889</v>
      </c>
      <c r="E14" s="114">
        <f t="shared" si="1"/>
        <v>19791.666666666664</v>
      </c>
      <c r="F14" s="114">
        <f t="shared" si="3"/>
        <v>458333.33333333337</v>
      </c>
    </row>
    <row r="15" spans="1:8" ht="13.5" customHeight="1">
      <c r="B15" s="111" t="s">
        <v>170</v>
      </c>
      <c r="C15" s="114">
        <f t="shared" si="0"/>
        <v>5729.166666666667</v>
      </c>
      <c r="D15" s="114">
        <f t="shared" si="2"/>
        <v>13888.888888888889</v>
      </c>
      <c r="E15" s="114">
        <f t="shared" si="1"/>
        <v>19618.055555555555</v>
      </c>
      <c r="F15" s="114">
        <f t="shared" si="3"/>
        <v>444444.4444444445</v>
      </c>
    </row>
    <row r="16" spans="1:8" ht="13.5" customHeight="1">
      <c r="B16" s="111" t="s">
        <v>171</v>
      </c>
      <c r="C16" s="114">
        <f t="shared" si="0"/>
        <v>5555.5555555555557</v>
      </c>
      <c r="D16" s="114">
        <f t="shared" si="2"/>
        <v>13888.888888888889</v>
      </c>
      <c r="E16" s="114">
        <f t="shared" si="1"/>
        <v>19444.444444444445</v>
      </c>
      <c r="F16" s="114">
        <f t="shared" si="3"/>
        <v>430555.55555555562</v>
      </c>
    </row>
    <row r="17" spans="1:8" ht="13.5" customHeight="1">
      <c r="B17" s="111" t="s">
        <v>172</v>
      </c>
      <c r="C17" s="114">
        <f t="shared" si="0"/>
        <v>5381.9444444444453</v>
      </c>
      <c r="D17" s="114">
        <f t="shared" si="2"/>
        <v>13888.888888888889</v>
      </c>
      <c r="E17" s="114">
        <f t="shared" si="1"/>
        <v>19270.833333333336</v>
      </c>
      <c r="F17" s="114">
        <f t="shared" si="3"/>
        <v>416666.66666666674</v>
      </c>
    </row>
    <row r="18" spans="1:8" ht="13.5" customHeight="1">
      <c r="B18" s="111" t="s">
        <v>173</v>
      </c>
      <c r="C18" s="114">
        <f t="shared" si="0"/>
        <v>5208.3333333333339</v>
      </c>
      <c r="D18" s="114">
        <f t="shared" si="2"/>
        <v>13888.888888888889</v>
      </c>
      <c r="E18" s="114">
        <f t="shared" si="1"/>
        <v>19097.222222222223</v>
      </c>
      <c r="F18" s="114">
        <f t="shared" si="3"/>
        <v>402777.77777777787</v>
      </c>
    </row>
    <row r="19" spans="1:8" ht="13.5" customHeight="1">
      <c r="B19" s="111" t="s">
        <v>174</v>
      </c>
      <c r="C19" s="114">
        <f t="shared" si="0"/>
        <v>5034.7222222222226</v>
      </c>
      <c r="D19" s="114">
        <f t="shared" si="2"/>
        <v>13888.888888888889</v>
      </c>
      <c r="E19" s="114">
        <f t="shared" si="1"/>
        <v>18923.611111111109</v>
      </c>
      <c r="F19" s="114">
        <f t="shared" si="3"/>
        <v>388888.88888888899</v>
      </c>
    </row>
    <row r="20" spans="1:8" ht="13.5" customHeight="1">
      <c r="B20" s="111" t="s">
        <v>175</v>
      </c>
      <c r="C20" s="114">
        <f t="shared" si="0"/>
        <v>4861.1111111111122</v>
      </c>
      <c r="D20" s="114">
        <f t="shared" si="2"/>
        <v>13888.888888888889</v>
      </c>
      <c r="E20" s="114">
        <f t="shared" si="1"/>
        <v>18750</v>
      </c>
      <c r="F20" s="114">
        <f t="shared" si="3"/>
        <v>375000.00000000012</v>
      </c>
    </row>
    <row r="21" spans="1:8" ht="13.5" customHeight="1">
      <c r="B21" s="111" t="s">
        <v>176</v>
      </c>
      <c r="C21" s="114">
        <f t="shared" si="0"/>
        <v>4687.5000000000009</v>
      </c>
      <c r="D21" s="114">
        <f t="shared" si="2"/>
        <v>13888.888888888889</v>
      </c>
      <c r="E21" s="114">
        <f t="shared" si="1"/>
        <v>18576.388888888891</v>
      </c>
      <c r="F21" s="114">
        <f t="shared" si="3"/>
        <v>361111.11111111124</v>
      </c>
    </row>
    <row r="22" spans="1:8" ht="13.5" customHeight="1">
      <c r="B22" s="111" t="s">
        <v>177</v>
      </c>
      <c r="C22" s="114">
        <f t="shared" si="0"/>
        <v>4513.8888888888905</v>
      </c>
      <c r="D22" s="114">
        <f t="shared" si="2"/>
        <v>13888.888888888889</v>
      </c>
      <c r="E22" s="114">
        <f t="shared" si="1"/>
        <v>18402.777777777781</v>
      </c>
      <c r="F22" s="114">
        <f t="shared" si="3"/>
        <v>347222.22222222236</v>
      </c>
    </row>
    <row r="23" spans="1:8" ht="15" customHeight="1">
      <c r="A23" s="102">
        <v>1</v>
      </c>
      <c r="B23" s="116" t="s">
        <v>178</v>
      </c>
      <c r="C23" s="117">
        <f t="shared" si="0"/>
        <v>4340.2777777777792</v>
      </c>
      <c r="D23" s="117">
        <f t="shared" si="2"/>
        <v>13888.888888888889</v>
      </c>
      <c r="E23" s="117">
        <f t="shared" si="1"/>
        <v>18229.166666666668</v>
      </c>
      <c r="F23" s="118">
        <f t="shared" si="3"/>
        <v>333333.33333333349</v>
      </c>
      <c r="G23" s="119">
        <f>SUM(E12:E23)</f>
        <v>230208.33333333331</v>
      </c>
      <c r="H23" s="120">
        <f>SUM(C12:C23)</f>
        <v>63541.666666666672</v>
      </c>
    </row>
    <row r="24" spans="1:8" ht="13.5" customHeight="1">
      <c r="B24" s="121" t="s">
        <v>179</v>
      </c>
      <c r="C24" s="122">
        <f t="shared" si="0"/>
        <v>4166.6666666666679</v>
      </c>
      <c r="D24" s="122">
        <f t="shared" si="2"/>
        <v>13888.888888888889</v>
      </c>
      <c r="E24" s="122">
        <f t="shared" si="1"/>
        <v>18055.555555555555</v>
      </c>
      <c r="F24" s="122">
        <f t="shared" si="3"/>
        <v>319444.44444444461</v>
      </c>
    </row>
    <row r="25" spans="1:8" ht="13.5" customHeight="1">
      <c r="B25" s="111" t="s">
        <v>180</v>
      </c>
      <c r="C25" s="114">
        <f t="shared" si="0"/>
        <v>3993.0555555555575</v>
      </c>
      <c r="D25" s="114">
        <f t="shared" si="2"/>
        <v>13888.888888888889</v>
      </c>
      <c r="E25" s="114">
        <f t="shared" si="1"/>
        <v>17881.944444444445</v>
      </c>
      <c r="F25" s="114">
        <f t="shared" si="3"/>
        <v>305555.55555555574</v>
      </c>
    </row>
    <row r="26" spans="1:8" ht="13.5" customHeight="1">
      <c r="B26" s="111" t="s">
        <v>181</v>
      </c>
      <c r="C26" s="114">
        <f t="shared" si="0"/>
        <v>3819.4444444444466</v>
      </c>
      <c r="D26" s="114">
        <f t="shared" si="2"/>
        <v>13888.888888888889</v>
      </c>
      <c r="E26" s="114">
        <f t="shared" si="1"/>
        <v>17708.333333333336</v>
      </c>
      <c r="F26" s="114">
        <f t="shared" si="3"/>
        <v>291666.66666666686</v>
      </c>
    </row>
    <row r="27" spans="1:8" ht="13.5" customHeight="1">
      <c r="B27" s="111" t="s">
        <v>182</v>
      </c>
      <c r="C27" s="114">
        <f t="shared" si="0"/>
        <v>3645.8333333333353</v>
      </c>
      <c r="D27" s="114">
        <f t="shared" si="2"/>
        <v>13888.888888888889</v>
      </c>
      <c r="E27" s="114">
        <f t="shared" si="1"/>
        <v>17534.722222222223</v>
      </c>
      <c r="F27" s="114">
        <f t="shared" si="3"/>
        <v>277777.77777777798</v>
      </c>
    </row>
    <row r="28" spans="1:8" ht="13.5" customHeight="1">
      <c r="B28" s="111" t="s">
        <v>183</v>
      </c>
      <c r="C28" s="114">
        <f t="shared" si="0"/>
        <v>3472.2222222222244</v>
      </c>
      <c r="D28" s="114">
        <f t="shared" si="2"/>
        <v>13888.888888888889</v>
      </c>
      <c r="E28" s="114">
        <f t="shared" si="1"/>
        <v>17361.111111111113</v>
      </c>
      <c r="F28" s="114">
        <f t="shared" si="3"/>
        <v>263888.88888888911</v>
      </c>
    </row>
    <row r="29" spans="1:8" ht="13.5" customHeight="1">
      <c r="B29" s="111" t="s">
        <v>184</v>
      </c>
      <c r="C29" s="114">
        <f t="shared" si="0"/>
        <v>3298.6111111111136</v>
      </c>
      <c r="D29" s="114">
        <f t="shared" si="2"/>
        <v>13888.888888888889</v>
      </c>
      <c r="E29" s="114">
        <f t="shared" si="1"/>
        <v>17187.500000000004</v>
      </c>
      <c r="F29" s="114">
        <f t="shared" si="3"/>
        <v>250000.00000000023</v>
      </c>
    </row>
    <row r="30" spans="1:8" ht="13.5" customHeight="1">
      <c r="B30" s="111" t="s">
        <v>185</v>
      </c>
      <c r="C30" s="114">
        <f t="shared" si="0"/>
        <v>3125.0000000000027</v>
      </c>
      <c r="D30" s="114">
        <f t="shared" si="2"/>
        <v>13888.888888888889</v>
      </c>
      <c r="E30" s="114">
        <f t="shared" si="1"/>
        <v>17013.888888888891</v>
      </c>
      <c r="F30" s="114">
        <f t="shared" si="3"/>
        <v>236111.11111111136</v>
      </c>
    </row>
    <row r="31" spans="1:8" ht="13.5" customHeight="1">
      <c r="B31" s="111" t="s">
        <v>186</v>
      </c>
      <c r="C31" s="114">
        <f t="shared" si="0"/>
        <v>2951.3888888888919</v>
      </c>
      <c r="D31" s="114">
        <f t="shared" si="2"/>
        <v>13888.888888888889</v>
      </c>
      <c r="E31" s="114">
        <f t="shared" si="1"/>
        <v>16840.277777777781</v>
      </c>
      <c r="F31" s="114">
        <f t="shared" si="3"/>
        <v>222222.22222222248</v>
      </c>
    </row>
    <row r="32" spans="1:8" ht="13.5" customHeight="1">
      <c r="B32" s="111" t="s">
        <v>187</v>
      </c>
      <c r="C32" s="114">
        <f t="shared" si="0"/>
        <v>2777.7777777777806</v>
      </c>
      <c r="D32" s="114">
        <f t="shared" si="2"/>
        <v>13888.888888888889</v>
      </c>
      <c r="E32" s="114">
        <f t="shared" si="1"/>
        <v>16666.666666666668</v>
      </c>
      <c r="F32" s="114">
        <f t="shared" si="3"/>
        <v>208333.3333333336</v>
      </c>
    </row>
    <row r="33" spans="1:8" ht="13.5" customHeight="1">
      <c r="B33" s="111" t="s">
        <v>188</v>
      </c>
      <c r="C33" s="114">
        <f t="shared" si="0"/>
        <v>2604.1666666666697</v>
      </c>
      <c r="D33" s="114">
        <f t="shared" si="2"/>
        <v>13888.888888888889</v>
      </c>
      <c r="E33" s="114">
        <f t="shared" si="1"/>
        <v>16493.055555555558</v>
      </c>
      <c r="F33" s="114">
        <f t="shared" si="3"/>
        <v>194444.44444444473</v>
      </c>
    </row>
    <row r="34" spans="1:8" ht="13.5" customHeight="1">
      <c r="B34" s="111" t="s">
        <v>189</v>
      </c>
      <c r="C34" s="114">
        <f t="shared" si="0"/>
        <v>2430.5555555555588</v>
      </c>
      <c r="D34" s="114">
        <f t="shared" si="2"/>
        <v>13888.888888888889</v>
      </c>
      <c r="E34" s="114">
        <f t="shared" si="1"/>
        <v>16319.444444444447</v>
      </c>
      <c r="F34" s="114">
        <f t="shared" si="3"/>
        <v>180555.55555555585</v>
      </c>
    </row>
    <row r="35" spans="1:8" ht="15" customHeight="1">
      <c r="A35" s="102">
        <v>2</v>
      </c>
      <c r="B35" s="116" t="s">
        <v>190</v>
      </c>
      <c r="C35" s="117">
        <f t="shared" si="0"/>
        <v>2256.944444444448</v>
      </c>
      <c r="D35" s="117">
        <f t="shared" si="2"/>
        <v>13888.888888888889</v>
      </c>
      <c r="E35" s="117">
        <f t="shared" si="1"/>
        <v>16145.833333333336</v>
      </c>
      <c r="F35" s="118">
        <f t="shared" si="3"/>
        <v>166666.66666666698</v>
      </c>
      <c r="G35" s="119">
        <f>SUM(E24:E35)</f>
        <v>205208.33333333334</v>
      </c>
      <c r="H35" s="120">
        <f>SUM(C24:C35)</f>
        <v>38541.666666666701</v>
      </c>
    </row>
    <row r="36" spans="1:8" ht="13.5" customHeight="1">
      <c r="B36" s="121" t="s">
        <v>191</v>
      </c>
      <c r="C36" s="122">
        <f t="shared" si="0"/>
        <v>2083.3333333333371</v>
      </c>
      <c r="D36" s="122">
        <f t="shared" si="2"/>
        <v>13888.888888888889</v>
      </c>
      <c r="E36" s="122">
        <f t="shared" si="1"/>
        <v>15972.222222222226</v>
      </c>
      <c r="F36" s="122">
        <f t="shared" si="3"/>
        <v>152777.7777777781</v>
      </c>
    </row>
    <row r="37" spans="1:8" ht="13.5" customHeight="1">
      <c r="B37" s="111" t="s">
        <v>192</v>
      </c>
      <c r="C37" s="114">
        <f t="shared" si="0"/>
        <v>1909.722222222226</v>
      </c>
      <c r="D37" s="114">
        <f t="shared" si="2"/>
        <v>13888.888888888889</v>
      </c>
      <c r="E37" s="114">
        <f t="shared" si="1"/>
        <v>15798.611111111115</v>
      </c>
      <c r="F37" s="114">
        <f t="shared" si="3"/>
        <v>138888.88888888923</v>
      </c>
    </row>
    <row r="38" spans="1:8" ht="13.5" customHeight="1">
      <c r="B38" s="111" t="s">
        <v>193</v>
      </c>
      <c r="C38" s="114">
        <f t="shared" si="0"/>
        <v>1736.1111111111152</v>
      </c>
      <c r="D38" s="114">
        <f t="shared" si="2"/>
        <v>13888.888888888889</v>
      </c>
      <c r="E38" s="114">
        <f t="shared" si="1"/>
        <v>15625.000000000004</v>
      </c>
      <c r="F38" s="114">
        <f t="shared" si="3"/>
        <v>125000.00000000033</v>
      </c>
    </row>
    <row r="39" spans="1:8" ht="13.5" customHeight="1">
      <c r="B39" s="111" t="s">
        <v>194</v>
      </c>
      <c r="C39" s="114">
        <f t="shared" si="0"/>
        <v>1562.5000000000041</v>
      </c>
      <c r="D39" s="114">
        <f t="shared" si="2"/>
        <v>13888.888888888889</v>
      </c>
      <c r="E39" s="114">
        <f t="shared" si="1"/>
        <v>15451.388888888892</v>
      </c>
      <c r="F39" s="114">
        <f t="shared" si="3"/>
        <v>111111.11111111144</v>
      </c>
    </row>
    <row r="40" spans="1:8" ht="13.5" customHeight="1">
      <c r="B40" s="111" t="s">
        <v>195</v>
      </c>
      <c r="C40" s="114">
        <f t="shared" si="0"/>
        <v>1388.888888888893</v>
      </c>
      <c r="D40" s="114">
        <f t="shared" si="2"/>
        <v>13888.888888888889</v>
      </c>
      <c r="E40" s="114">
        <f t="shared" si="1"/>
        <v>15277.777777777781</v>
      </c>
      <c r="F40" s="114">
        <f t="shared" si="3"/>
        <v>97222.222222222554</v>
      </c>
    </row>
    <row r="41" spans="1:8" ht="13.5" customHeight="1">
      <c r="B41" s="111" t="s">
        <v>196</v>
      </c>
      <c r="C41" s="114">
        <f t="shared" si="0"/>
        <v>1215.2777777777819</v>
      </c>
      <c r="D41" s="114">
        <f t="shared" si="2"/>
        <v>13888.888888888889</v>
      </c>
      <c r="E41" s="114">
        <f t="shared" si="1"/>
        <v>15104.166666666672</v>
      </c>
      <c r="F41" s="114">
        <f t="shared" si="3"/>
        <v>83333.333333333663</v>
      </c>
    </row>
    <row r="42" spans="1:8" ht="13.5" customHeight="1">
      <c r="B42" s="111" t="s">
        <v>197</v>
      </c>
      <c r="C42" s="114">
        <f t="shared" si="0"/>
        <v>1041.6666666666706</v>
      </c>
      <c r="D42" s="114">
        <f t="shared" si="2"/>
        <v>13888.888888888889</v>
      </c>
      <c r="E42" s="114">
        <f t="shared" si="1"/>
        <v>14930.555555555558</v>
      </c>
      <c r="F42" s="114">
        <f t="shared" si="3"/>
        <v>69444.444444444773</v>
      </c>
    </row>
    <row r="43" spans="1:8" ht="13.5" customHeight="1">
      <c r="B43" s="111" t="s">
        <v>198</v>
      </c>
      <c r="C43" s="114">
        <f t="shared" si="0"/>
        <v>868.05555555555964</v>
      </c>
      <c r="D43" s="114">
        <f t="shared" si="2"/>
        <v>13888.888888888889</v>
      </c>
      <c r="E43" s="114">
        <f t="shared" si="1"/>
        <v>14756.944444444449</v>
      </c>
      <c r="F43" s="114">
        <f t="shared" si="3"/>
        <v>55555.555555555882</v>
      </c>
    </row>
    <row r="44" spans="1:8" ht="13.5" customHeight="1">
      <c r="B44" s="111" t="s">
        <v>199</v>
      </c>
      <c r="C44" s="114">
        <f t="shared" ref="C44:C75" si="4">F43*$D$5</f>
        <v>694.44444444444844</v>
      </c>
      <c r="D44" s="114">
        <f t="shared" si="2"/>
        <v>13888.888888888889</v>
      </c>
      <c r="E44" s="114">
        <f t="shared" ref="E44:E75" si="5">C44+D44</f>
        <v>14583.333333333338</v>
      </c>
      <c r="F44" s="114">
        <f t="shared" si="3"/>
        <v>41666.666666666992</v>
      </c>
    </row>
    <row r="45" spans="1:8" ht="13.5" customHeight="1">
      <c r="B45" s="111" t="s">
        <v>200</v>
      </c>
      <c r="C45" s="114">
        <f t="shared" si="4"/>
        <v>520.83333333333735</v>
      </c>
      <c r="D45" s="114">
        <f t="shared" ref="D45:D76" si="6">D44</f>
        <v>13888.888888888889</v>
      </c>
      <c r="E45" s="114">
        <f t="shared" si="5"/>
        <v>14409.722222222226</v>
      </c>
      <c r="F45" s="114">
        <f t="shared" ref="F45:F71" si="7">F44-D45</f>
        <v>27777.777777778101</v>
      </c>
    </row>
    <row r="46" spans="1:8" ht="13.5" customHeight="1">
      <c r="B46" s="111" t="s">
        <v>201</v>
      </c>
      <c r="C46" s="114">
        <f t="shared" si="4"/>
        <v>347.22222222222621</v>
      </c>
      <c r="D46" s="114">
        <f t="shared" si="6"/>
        <v>13888.888888888889</v>
      </c>
      <c r="E46" s="114">
        <f t="shared" si="5"/>
        <v>14236.111111111115</v>
      </c>
      <c r="F46" s="114">
        <f t="shared" si="7"/>
        <v>13888.888888889212</v>
      </c>
    </row>
    <row r="47" spans="1:8" ht="15" customHeight="1">
      <c r="A47" s="102">
        <v>3</v>
      </c>
      <c r="B47" s="116" t="s">
        <v>202</v>
      </c>
      <c r="C47" s="117">
        <f t="shared" si="4"/>
        <v>173.61111111111515</v>
      </c>
      <c r="D47" s="117">
        <f t="shared" si="6"/>
        <v>13888.888888888889</v>
      </c>
      <c r="E47" s="117">
        <f t="shared" si="5"/>
        <v>14062.500000000004</v>
      </c>
      <c r="F47" s="117">
        <f t="shared" si="7"/>
        <v>3.2378011383116245E-10</v>
      </c>
      <c r="G47" s="119">
        <f>SUM(E36:E47)</f>
        <v>180208.33333333337</v>
      </c>
      <c r="H47" s="120">
        <f>SUM(C36:C47)</f>
        <v>13541.666666666717</v>
      </c>
    </row>
    <row r="48" spans="1:8" ht="13.5" customHeight="1">
      <c r="B48" s="121" t="s">
        <v>203</v>
      </c>
      <c r="C48" s="122">
        <f t="shared" si="4"/>
        <v>4.04725142288953E-12</v>
      </c>
      <c r="D48" s="122">
        <f t="shared" si="6"/>
        <v>13888.888888888889</v>
      </c>
      <c r="E48" s="122">
        <f t="shared" si="5"/>
        <v>13888.888888888892</v>
      </c>
      <c r="F48" s="122">
        <f t="shared" si="7"/>
        <v>-13888.888888888565</v>
      </c>
    </row>
    <row r="49" spans="1:8" ht="13.5" customHeight="1">
      <c r="B49" s="111" t="s">
        <v>204</v>
      </c>
      <c r="C49" s="114">
        <f t="shared" si="4"/>
        <v>-173.61111111110705</v>
      </c>
      <c r="D49" s="114">
        <f t="shared" si="6"/>
        <v>13888.888888888889</v>
      </c>
      <c r="E49" s="114">
        <f t="shared" si="5"/>
        <v>13715.277777777781</v>
      </c>
      <c r="F49" s="114">
        <f t="shared" si="7"/>
        <v>-27777.777777777454</v>
      </c>
    </row>
    <row r="50" spans="1:8" ht="13.5" customHeight="1">
      <c r="B50" s="111" t="s">
        <v>205</v>
      </c>
      <c r="C50" s="114">
        <f t="shared" si="4"/>
        <v>-347.22222222221814</v>
      </c>
      <c r="D50" s="114">
        <f t="shared" si="6"/>
        <v>13888.888888888889</v>
      </c>
      <c r="E50" s="114">
        <f t="shared" si="5"/>
        <v>13541.66666666667</v>
      </c>
      <c r="F50" s="114">
        <f t="shared" si="7"/>
        <v>-41666.666666666344</v>
      </c>
    </row>
    <row r="51" spans="1:8" ht="13.5" customHeight="1">
      <c r="B51" s="111" t="s">
        <v>206</v>
      </c>
      <c r="C51" s="114">
        <f t="shared" si="4"/>
        <v>-520.83333333332928</v>
      </c>
      <c r="D51" s="114">
        <f t="shared" si="6"/>
        <v>13888.888888888889</v>
      </c>
      <c r="E51" s="114">
        <f t="shared" si="5"/>
        <v>13368.05555555556</v>
      </c>
      <c r="F51" s="114">
        <f t="shared" si="7"/>
        <v>-55555.555555555235</v>
      </c>
    </row>
    <row r="52" spans="1:8" ht="13.5" customHeight="1">
      <c r="B52" s="111" t="s">
        <v>207</v>
      </c>
      <c r="C52" s="114">
        <f t="shared" si="4"/>
        <v>-694.44444444444036</v>
      </c>
      <c r="D52" s="114">
        <f t="shared" si="6"/>
        <v>13888.888888888889</v>
      </c>
      <c r="E52" s="114">
        <f t="shared" si="5"/>
        <v>13194.444444444449</v>
      </c>
      <c r="F52" s="114">
        <f t="shared" si="7"/>
        <v>-69444.444444444118</v>
      </c>
    </row>
    <row r="53" spans="1:8" ht="13.5" customHeight="1">
      <c r="B53" s="111" t="s">
        <v>208</v>
      </c>
      <c r="C53" s="114">
        <f t="shared" si="4"/>
        <v>-868.05555555555145</v>
      </c>
      <c r="D53" s="114">
        <f t="shared" si="6"/>
        <v>13888.888888888889</v>
      </c>
      <c r="E53" s="114">
        <f t="shared" si="5"/>
        <v>13020.833333333338</v>
      </c>
      <c r="F53" s="114">
        <f t="shared" si="7"/>
        <v>-83333.333333333008</v>
      </c>
    </row>
    <row r="54" spans="1:8" ht="13.5" customHeight="1">
      <c r="B54" s="111" t="s">
        <v>209</v>
      </c>
      <c r="C54" s="114">
        <f t="shared" si="4"/>
        <v>-1041.6666666666624</v>
      </c>
      <c r="D54" s="114">
        <f t="shared" si="6"/>
        <v>13888.888888888889</v>
      </c>
      <c r="E54" s="114">
        <f t="shared" si="5"/>
        <v>12847.222222222226</v>
      </c>
      <c r="F54" s="114">
        <f t="shared" si="7"/>
        <v>-97222.222222221899</v>
      </c>
    </row>
    <row r="55" spans="1:8" ht="13.5" customHeight="1">
      <c r="B55" s="111" t="s">
        <v>210</v>
      </c>
      <c r="C55" s="114">
        <f t="shared" si="4"/>
        <v>-1215.2777777777737</v>
      </c>
      <c r="D55" s="114">
        <f t="shared" si="6"/>
        <v>13888.888888888889</v>
      </c>
      <c r="E55" s="114">
        <f t="shared" si="5"/>
        <v>12673.611111111115</v>
      </c>
      <c r="F55" s="114">
        <f t="shared" si="7"/>
        <v>-111111.11111111079</v>
      </c>
    </row>
    <row r="56" spans="1:8" ht="13.5" customHeight="1">
      <c r="B56" s="111" t="s">
        <v>211</v>
      </c>
      <c r="C56" s="114">
        <f t="shared" si="4"/>
        <v>-1388.8888888888848</v>
      </c>
      <c r="D56" s="114">
        <f t="shared" si="6"/>
        <v>13888.888888888889</v>
      </c>
      <c r="E56" s="114">
        <f t="shared" si="5"/>
        <v>12500.000000000004</v>
      </c>
      <c r="F56" s="114">
        <f t="shared" si="7"/>
        <v>-124999.99999999968</v>
      </c>
    </row>
    <row r="57" spans="1:8" ht="13.5" customHeight="1">
      <c r="B57" s="111" t="s">
        <v>212</v>
      </c>
      <c r="C57" s="114">
        <f t="shared" si="4"/>
        <v>-1562.4999999999959</v>
      </c>
      <c r="D57" s="114">
        <f t="shared" si="6"/>
        <v>13888.888888888889</v>
      </c>
      <c r="E57" s="114">
        <f t="shared" si="5"/>
        <v>12326.388888888892</v>
      </c>
      <c r="F57" s="114">
        <f t="shared" si="7"/>
        <v>-138888.88888888856</v>
      </c>
    </row>
    <row r="58" spans="1:8" ht="13.5" customHeight="1">
      <c r="B58" s="111" t="s">
        <v>213</v>
      </c>
      <c r="C58" s="114">
        <f t="shared" si="4"/>
        <v>-1736.1111111111068</v>
      </c>
      <c r="D58" s="114">
        <f t="shared" si="6"/>
        <v>13888.888888888889</v>
      </c>
      <c r="E58" s="114">
        <f t="shared" si="5"/>
        <v>12152.777777777781</v>
      </c>
      <c r="F58" s="114">
        <f t="shared" si="7"/>
        <v>-152777.77777777743</v>
      </c>
    </row>
    <row r="59" spans="1:8" ht="15" customHeight="1">
      <c r="A59" s="102">
        <v>4</v>
      </c>
      <c r="B59" s="116" t="s">
        <v>214</v>
      </c>
      <c r="C59" s="117">
        <f t="shared" si="4"/>
        <v>-1909.7222222222179</v>
      </c>
      <c r="D59" s="117">
        <f t="shared" si="6"/>
        <v>13888.888888888889</v>
      </c>
      <c r="E59" s="117">
        <f t="shared" si="5"/>
        <v>11979.166666666672</v>
      </c>
      <c r="F59" s="118">
        <f t="shared" si="7"/>
        <v>-166666.66666666631</v>
      </c>
      <c r="G59" s="119">
        <f>SUM(E48:E59)</f>
        <v>155208.33333333337</v>
      </c>
      <c r="H59" s="120">
        <f>SUM(C48:C59)</f>
        <v>-11458.333333333283</v>
      </c>
    </row>
    <row r="60" spans="1:8" ht="13.5" customHeight="1">
      <c r="B60" s="121" t="s">
        <v>215</v>
      </c>
      <c r="C60" s="122">
        <f t="shared" si="4"/>
        <v>-2083.3333333333285</v>
      </c>
      <c r="D60" s="122">
        <f t="shared" si="6"/>
        <v>13888.888888888889</v>
      </c>
      <c r="E60" s="122">
        <f t="shared" si="5"/>
        <v>11805.55555555556</v>
      </c>
      <c r="F60" s="122">
        <f t="shared" si="7"/>
        <v>-180555.55555555518</v>
      </c>
    </row>
    <row r="61" spans="1:8" ht="13.5" customHeight="1">
      <c r="B61" s="111" t="s">
        <v>216</v>
      </c>
      <c r="C61" s="114">
        <f t="shared" si="4"/>
        <v>-2256.9444444444398</v>
      </c>
      <c r="D61" s="114">
        <f t="shared" si="6"/>
        <v>13888.888888888889</v>
      </c>
      <c r="E61" s="114">
        <f t="shared" si="5"/>
        <v>11631.944444444449</v>
      </c>
      <c r="F61" s="114">
        <f t="shared" si="7"/>
        <v>-194444.44444444406</v>
      </c>
    </row>
    <row r="62" spans="1:8" ht="13.5" customHeight="1">
      <c r="B62" s="111" t="s">
        <v>217</v>
      </c>
      <c r="C62" s="114">
        <f t="shared" si="4"/>
        <v>-2430.5555555555507</v>
      </c>
      <c r="D62" s="114">
        <f t="shared" si="6"/>
        <v>13888.888888888889</v>
      </c>
      <c r="E62" s="114">
        <f t="shared" si="5"/>
        <v>11458.333333333338</v>
      </c>
      <c r="F62" s="114">
        <f t="shared" si="7"/>
        <v>-208333.33333333294</v>
      </c>
    </row>
    <row r="63" spans="1:8" ht="13.5" customHeight="1">
      <c r="B63" s="111" t="s">
        <v>218</v>
      </c>
      <c r="C63" s="114">
        <f t="shared" si="4"/>
        <v>-2604.1666666666615</v>
      </c>
      <c r="D63" s="114">
        <f t="shared" si="6"/>
        <v>13888.888888888889</v>
      </c>
      <c r="E63" s="114">
        <f t="shared" si="5"/>
        <v>11284.722222222226</v>
      </c>
      <c r="F63" s="114">
        <f t="shared" si="7"/>
        <v>-222222.22222222181</v>
      </c>
    </row>
    <row r="64" spans="1:8" ht="13.5" customHeight="1">
      <c r="B64" s="111" t="s">
        <v>219</v>
      </c>
      <c r="C64" s="114">
        <f t="shared" si="4"/>
        <v>-2777.7777777777724</v>
      </c>
      <c r="D64" s="114">
        <f t="shared" si="6"/>
        <v>13888.888888888889</v>
      </c>
      <c r="E64" s="114">
        <f t="shared" si="5"/>
        <v>11111.111111111117</v>
      </c>
      <c r="F64" s="114">
        <f t="shared" si="7"/>
        <v>-236111.11111111069</v>
      </c>
    </row>
    <row r="65" spans="1:9" ht="13.5" customHeight="1">
      <c r="B65" s="111" t="s">
        <v>220</v>
      </c>
      <c r="C65" s="114">
        <f t="shared" si="4"/>
        <v>-2951.3888888888832</v>
      </c>
      <c r="D65" s="114">
        <f t="shared" si="6"/>
        <v>13888.888888888889</v>
      </c>
      <c r="E65" s="114">
        <f t="shared" si="5"/>
        <v>10937.500000000005</v>
      </c>
      <c r="F65" s="114">
        <f t="shared" si="7"/>
        <v>-249999.99999999956</v>
      </c>
    </row>
    <row r="66" spans="1:9" ht="13.5" customHeight="1">
      <c r="B66" s="111" t="s">
        <v>221</v>
      </c>
      <c r="C66" s="114">
        <f t="shared" si="4"/>
        <v>-3124.9999999999941</v>
      </c>
      <c r="D66" s="114">
        <f t="shared" si="6"/>
        <v>13888.888888888889</v>
      </c>
      <c r="E66" s="114">
        <f t="shared" si="5"/>
        <v>10763.888888888894</v>
      </c>
      <c r="F66" s="114">
        <f t="shared" si="7"/>
        <v>-263888.88888888847</v>
      </c>
    </row>
    <row r="67" spans="1:9" ht="13.5" customHeight="1">
      <c r="B67" s="111" t="s">
        <v>222</v>
      </c>
      <c r="C67" s="114">
        <f t="shared" si="4"/>
        <v>-3298.6111111111054</v>
      </c>
      <c r="D67" s="114">
        <f t="shared" si="6"/>
        <v>13888.888888888889</v>
      </c>
      <c r="E67" s="114">
        <f t="shared" si="5"/>
        <v>10590.277777777783</v>
      </c>
      <c r="F67" s="114">
        <f t="shared" si="7"/>
        <v>-277777.77777777734</v>
      </c>
    </row>
    <row r="68" spans="1:9" ht="13.5" customHeight="1">
      <c r="B68" s="111" t="s">
        <v>223</v>
      </c>
      <c r="C68" s="114">
        <f t="shared" si="4"/>
        <v>-3472.2222222222167</v>
      </c>
      <c r="D68" s="114">
        <f t="shared" si="6"/>
        <v>13888.888888888889</v>
      </c>
      <c r="E68" s="114">
        <f t="shared" si="5"/>
        <v>10416.666666666672</v>
      </c>
      <c r="F68" s="114">
        <f t="shared" si="7"/>
        <v>-291666.66666666622</v>
      </c>
    </row>
    <row r="69" spans="1:9" ht="13.5" customHeight="1">
      <c r="B69" s="111" t="s">
        <v>224</v>
      </c>
      <c r="C69" s="114">
        <f t="shared" si="4"/>
        <v>-3645.8333333333276</v>
      </c>
      <c r="D69" s="114">
        <f t="shared" si="6"/>
        <v>13888.888888888889</v>
      </c>
      <c r="E69" s="114">
        <f t="shared" si="5"/>
        <v>10243.055555555562</v>
      </c>
      <c r="F69" s="114">
        <f t="shared" si="7"/>
        <v>-305555.5555555551</v>
      </c>
    </row>
    <row r="70" spans="1:9" ht="13.5" customHeight="1">
      <c r="B70" s="111" t="s">
        <v>225</v>
      </c>
      <c r="C70" s="114">
        <f t="shared" si="4"/>
        <v>-3819.4444444444384</v>
      </c>
      <c r="D70" s="114">
        <f t="shared" si="6"/>
        <v>13888.888888888889</v>
      </c>
      <c r="E70" s="114">
        <f t="shared" si="5"/>
        <v>10069.444444444451</v>
      </c>
      <c r="F70" s="114">
        <f t="shared" si="7"/>
        <v>-319444.44444444397</v>
      </c>
    </row>
    <row r="71" spans="1:9" ht="15" customHeight="1">
      <c r="A71" s="102">
        <v>5</v>
      </c>
      <c r="B71" s="116" t="s">
        <v>226</v>
      </c>
      <c r="C71" s="117">
        <f t="shared" si="4"/>
        <v>-3993.0555555555493</v>
      </c>
      <c r="D71" s="117">
        <f t="shared" si="6"/>
        <v>13888.888888888889</v>
      </c>
      <c r="E71" s="117">
        <f t="shared" si="5"/>
        <v>9895.8333333333394</v>
      </c>
      <c r="F71" s="118">
        <f t="shared" si="7"/>
        <v>-333333.33333333285</v>
      </c>
      <c r="G71" s="119">
        <f>SUM(E60:E71)</f>
        <v>130208.33333333339</v>
      </c>
      <c r="H71" s="120">
        <f>SUM(C60:C71)</f>
        <v>-36458.33333333327</v>
      </c>
      <c r="I71" s="119">
        <f>SUM(H11:H71)</f>
        <v>67708.333333333532</v>
      </c>
    </row>
    <row r="72" spans="1:9" ht="14.25" customHeight="1">
      <c r="B72" s="111">
        <f t="shared" ref="B72:B103" si="8">B71+1</f>
        <v>61</v>
      </c>
      <c r="C72" s="114">
        <f t="shared" si="4"/>
        <v>-4166.6666666666606</v>
      </c>
      <c r="D72" s="114">
        <f t="shared" si="6"/>
        <v>13888.888888888889</v>
      </c>
      <c r="E72" s="114">
        <f t="shared" si="5"/>
        <v>9722.2222222222281</v>
      </c>
      <c r="F72" s="114">
        <f>$F$71-D72</f>
        <v>-347222.22222222172</v>
      </c>
    </row>
    <row r="73" spans="1:9" ht="14.25" customHeight="1">
      <c r="B73" s="111">
        <f t="shared" si="8"/>
        <v>62</v>
      </c>
      <c r="C73" s="114">
        <f t="shared" si="4"/>
        <v>-4340.277777777771</v>
      </c>
      <c r="D73" s="114">
        <f t="shared" si="6"/>
        <v>13888.888888888889</v>
      </c>
      <c r="E73" s="114">
        <f t="shared" si="5"/>
        <v>9548.6111111111168</v>
      </c>
      <c r="F73" s="114">
        <f t="shared" ref="F73:F104" si="9">F72-D73</f>
        <v>-361111.1111111106</v>
      </c>
    </row>
    <row r="74" spans="1:9" ht="14.25" customHeight="1">
      <c r="B74" s="111">
        <f t="shared" si="8"/>
        <v>63</v>
      </c>
      <c r="C74" s="114">
        <f t="shared" si="4"/>
        <v>-4513.8888888888823</v>
      </c>
      <c r="D74" s="114">
        <f t="shared" si="6"/>
        <v>13888.888888888889</v>
      </c>
      <c r="E74" s="114">
        <f t="shared" si="5"/>
        <v>9375.0000000000073</v>
      </c>
      <c r="F74" s="114">
        <f t="shared" si="9"/>
        <v>-374999.99999999948</v>
      </c>
    </row>
    <row r="75" spans="1:9" ht="14.25" customHeight="1">
      <c r="B75" s="111">
        <f t="shared" si="8"/>
        <v>64</v>
      </c>
      <c r="C75" s="114">
        <f t="shared" si="4"/>
        <v>-4687.4999999999927</v>
      </c>
      <c r="D75" s="114">
        <f t="shared" si="6"/>
        <v>13888.888888888889</v>
      </c>
      <c r="E75" s="114">
        <f t="shared" si="5"/>
        <v>9201.388888888896</v>
      </c>
      <c r="F75" s="114">
        <f t="shared" si="9"/>
        <v>-388888.88888888835</v>
      </c>
    </row>
    <row r="76" spans="1:9" ht="14.25" customHeight="1">
      <c r="B76" s="111">
        <f t="shared" si="8"/>
        <v>65</v>
      </c>
      <c r="C76" s="114">
        <f t="shared" ref="C76:C107" si="10">F75*$D$5</f>
        <v>-4861.111111111104</v>
      </c>
      <c r="D76" s="114">
        <f t="shared" si="6"/>
        <v>13888.888888888889</v>
      </c>
      <c r="E76" s="114">
        <f t="shared" ref="E76:E107" si="11">C76+D76</f>
        <v>9027.7777777777846</v>
      </c>
      <c r="F76" s="114">
        <f t="shared" si="9"/>
        <v>-402777.77777777723</v>
      </c>
    </row>
    <row r="77" spans="1:9" ht="14.25" customHeight="1">
      <c r="B77" s="111">
        <f t="shared" si="8"/>
        <v>66</v>
      </c>
      <c r="C77" s="114">
        <f t="shared" si="10"/>
        <v>-5034.7222222222154</v>
      </c>
      <c r="D77" s="114">
        <f t="shared" ref="D77:D108" si="12">D76</f>
        <v>13888.888888888889</v>
      </c>
      <c r="E77" s="114">
        <f t="shared" si="11"/>
        <v>8854.1666666666733</v>
      </c>
      <c r="F77" s="114">
        <f t="shared" si="9"/>
        <v>-416666.6666666661</v>
      </c>
    </row>
    <row r="78" spans="1:9" ht="14.25" customHeight="1">
      <c r="B78" s="111">
        <f t="shared" si="8"/>
        <v>67</v>
      </c>
      <c r="C78" s="114">
        <f t="shared" si="10"/>
        <v>-5208.3333333333258</v>
      </c>
      <c r="D78" s="114">
        <f t="shared" si="12"/>
        <v>13888.888888888889</v>
      </c>
      <c r="E78" s="114">
        <f t="shared" si="11"/>
        <v>8680.555555555562</v>
      </c>
      <c r="F78" s="114">
        <f t="shared" si="9"/>
        <v>-430555.55555555498</v>
      </c>
    </row>
    <row r="79" spans="1:9" ht="14.25" customHeight="1">
      <c r="B79" s="111">
        <f t="shared" si="8"/>
        <v>68</v>
      </c>
      <c r="C79" s="114">
        <f t="shared" si="10"/>
        <v>-5381.9444444444371</v>
      </c>
      <c r="D79" s="114">
        <f t="shared" si="12"/>
        <v>13888.888888888889</v>
      </c>
      <c r="E79" s="114">
        <f t="shared" si="11"/>
        <v>8506.9444444444525</v>
      </c>
      <c r="F79" s="114">
        <f t="shared" si="9"/>
        <v>-444444.44444444386</v>
      </c>
    </row>
    <row r="80" spans="1:9" ht="14.25" customHeight="1">
      <c r="B80" s="111">
        <f t="shared" si="8"/>
        <v>69</v>
      </c>
      <c r="C80" s="114">
        <f t="shared" si="10"/>
        <v>-5555.5555555555475</v>
      </c>
      <c r="D80" s="114">
        <f t="shared" si="12"/>
        <v>13888.888888888889</v>
      </c>
      <c r="E80" s="114">
        <f t="shared" si="11"/>
        <v>8333.3333333333412</v>
      </c>
      <c r="F80" s="114">
        <f t="shared" si="9"/>
        <v>-458333.33333333273</v>
      </c>
    </row>
    <row r="81" spans="1:7" ht="14.25" customHeight="1">
      <c r="B81" s="111">
        <f t="shared" si="8"/>
        <v>70</v>
      </c>
      <c r="C81" s="114">
        <f t="shared" si="10"/>
        <v>-5729.1666666666588</v>
      </c>
      <c r="D81" s="114">
        <f t="shared" si="12"/>
        <v>13888.888888888889</v>
      </c>
      <c r="E81" s="114">
        <f t="shared" si="11"/>
        <v>8159.7222222222299</v>
      </c>
      <c r="F81" s="114">
        <f t="shared" si="9"/>
        <v>-472222.22222222161</v>
      </c>
    </row>
    <row r="82" spans="1:7" ht="14.25" customHeight="1">
      <c r="B82" s="111">
        <f t="shared" si="8"/>
        <v>71</v>
      </c>
      <c r="C82" s="114">
        <f t="shared" si="10"/>
        <v>-5902.7777777777692</v>
      </c>
      <c r="D82" s="114">
        <f t="shared" si="12"/>
        <v>13888.888888888889</v>
      </c>
      <c r="E82" s="114">
        <f t="shared" si="11"/>
        <v>7986.1111111111195</v>
      </c>
      <c r="F82" s="114">
        <f t="shared" si="9"/>
        <v>-486111.11111111048</v>
      </c>
    </row>
    <row r="83" spans="1:7" ht="13.5" customHeight="1">
      <c r="A83" s="102">
        <v>6</v>
      </c>
      <c r="B83" s="116">
        <f t="shared" si="8"/>
        <v>72</v>
      </c>
      <c r="C83" s="117">
        <f t="shared" si="10"/>
        <v>-6076.3888888888805</v>
      </c>
      <c r="D83" s="117">
        <f t="shared" si="12"/>
        <v>13888.888888888889</v>
      </c>
      <c r="E83" s="117">
        <f t="shared" si="11"/>
        <v>7812.5000000000082</v>
      </c>
      <c r="F83" s="118">
        <f t="shared" si="9"/>
        <v>-499999.99999999936</v>
      </c>
      <c r="G83" s="119"/>
    </row>
    <row r="84" spans="1:7" ht="14.25" customHeight="1">
      <c r="B84" s="121">
        <f t="shared" si="8"/>
        <v>73</v>
      </c>
      <c r="C84" s="122">
        <f t="shared" si="10"/>
        <v>-6249.9999999999918</v>
      </c>
      <c r="D84" s="122">
        <f t="shared" si="12"/>
        <v>13888.888888888889</v>
      </c>
      <c r="E84" s="122">
        <f t="shared" si="11"/>
        <v>7638.8888888888969</v>
      </c>
      <c r="F84" s="122">
        <f t="shared" si="9"/>
        <v>-513888.88888888824</v>
      </c>
    </row>
    <row r="85" spans="1:7" ht="14.25" customHeight="1">
      <c r="B85" s="111">
        <f t="shared" si="8"/>
        <v>74</v>
      </c>
      <c r="C85" s="114">
        <f t="shared" si="10"/>
        <v>-6423.6111111111022</v>
      </c>
      <c r="D85" s="114">
        <f t="shared" si="12"/>
        <v>13888.888888888889</v>
      </c>
      <c r="E85" s="114">
        <f t="shared" si="11"/>
        <v>7465.2777777777865</v>
      </c>
      <c r="F85" s="114">
        <f t="shared" si="9"/>
        <v>-527777.77777777717</v>
      </c>
    </row>
    <row r="86" spans="1:7" ht="14.25" customHeight="1">
      <c r="B86" s="111">
        <f t="shared" si="8"/>
        <v>75</v>
      </c>
      <c r="C86" s="114">
        <f t="shared" si="10"/>
        <v>-6597.2222222222144</v>
      </c>
      <c r="D86" s="114">
        <f t="shared" si="12"/>
        <v>13888.888888888889</v>
      </c>
      <c r="E86" s="114">
        <f t="shared" si="11"/>
        <v>7291.6666666666742</v>
      </c>
      <c r="F86" s="114">
        <f t="shared" si="9"/>
        <v>-541666.66666666605</v>
      </c>
    </row>
    <row r="87" spans="1:7" ht="14.25" customHeight="1">
      <c r="B87" s="111">
        <f t="shared" si="8"/>
        <v>76</v>
      </c>
      <c r="C87" s="114">
        <f t="shared" si="10"/>
        <v>-6770.8333333333248</v>
      </c>
      <c r="D87" s="114">
        <f t="shared" si="12"/>
        <v>13888.888888888889</v>
      </c>
      <c r="E87" s="114">
        <f t="shared" si="11"/>
        <v>7118.0555555555638</v>
      </c>
      <c r="F87" s="114">
        <f t="shared" si="9"/>
        <v>-555555.55555555492</v>
      </c>
    </row>
    <row r="88" spans="1:7" ht="14.25" customHeight="1">
      <c r="B88" s="111">
        <f t="shared" si="8"/>
        <v>77</v>
      </c>
      <c r="C88" s="114">
        <f t="shared" si="10"/>
        <v>-6944.4444444444362</v>
      </c>
      <c r="D88" s="114">
        <f t="shared" si="12"/>
        <v>13888.888888888889</v>
      </c>
      <c r="E88" s="114">
        <f t="shared" si="11"/>
        <v>6944.4444444444525</v>
      </c>
      <c r="F88" s="114">
        <f t="shared" si="9"/>
        <v>-569444.4444444438</v>
      </c>
    </row>
    <row r="89" spans="1:7" ht="14.25" customHeight="1">
      <c r="B89" s="111">
        <f t="shared" si="8"/>
        <v>78</v>
      </c>
      <c r="C89" s="114">
        <f t="shared" si="10"/>
        <v>-7118.0555555555466</v>
      </c>
      <c r="D89" s="114">
        <f t="shared" si="12"/>
        <v>13888.888888888889</v>
      </c>
      <c r="E89" s="114">
        <f t="shared" si="11"/>
        <v>6770.8333333333421</v>
      </c>
      <c r="F89" s="114">
        <f t="shared" si="9"/>
        <v>-583333.33333333267</v>
      </c>
    </row>
    <row r="90" spans="1:7" ht="14.25" customHeight="1">
      <c r="B90" s="111">
        <f t="shared" si="8"/>
        <v>79</v>
      </c>
      <c r="C90" s="114">
        <f t="shared" si="10"/>
        <v>-7291.6666666666579</v>
      </c>
      <c r="D90" s="114">
        <f t="shared" si="12"/>
        <v>13888.888888888889</v>
      </c>
      <c r="E90" s="114">
        <f t="shared" si="11"/>
        <v>6597.2222222222308</v>
      </c>
      <c r="F90" s="114">
        <f t="shared" si="9"/>
        <v>-597222.22222222155</v>
      </c>
    </row>
    <row r="91" spans="1:7" ht="14.25" customHeight="1">
      <c r="B91" s="111">
        <f t="shared" si="8"/>
        <v>80</v>
      </c>
      <c r="C91" s="114">
        <f t="shared" si="10"/>
        <v>-7465.2777777777692</v>
      </c>
      <c r="D91" s="114">
        <f t="shared" si="12"/>
        <v>13888.888888888889</v>
      </c>
      <c r="E91" s="114">
        <f t="shared" si="11"/>
        <v>6423.6111111111195</v>
      </c>
      <c r="F91" s="114">
        <f t="shared" si="9"/>
        <v>-611111.11111111043</v>
      </c>
    </row>
    <row r="92" spans="1:7" ht="14.25" customHeight="1">
      <c r="B92" s="111">
        <f t="shared" si="8"/>
        <v>81</v>
      </c>
      <c r="C92" s="114">
        <f t="shared" si="10"/>
        <v>-7638.8888888888796</v>
      </c>
      <c r="D92" s="114">
        <f t="shared" si="12"/>
        <v>13888.888888888889</v>
      </c>
      <c r="E92" s="114">
        <f t="shared" si="11"/>
        <v>6250.0000000000091</v>
      </c>
      <c r="F92" s="114">
        <f t="shared" si="9"/>
        <v>-624999.9999999993</v>
      </c>
    </row>
    <row r="93" spans="1:7" ht="14.25" customHeight="1">
      <c r="B93" s="111">
        <f t="shared" si="8"/>
        <v>82</v>
      </c>
      <c r="C93" s="114">
        <f t="shared" si="10"/>
        <v>-7812.4999999999909</v>
      </c>
      <c r="D93" s="114">
        <f t="shared" si="12"/>
        <v>13888.888888888889</v>
      </c>
      <c r="E93" s="114">
        <f t="shared" si="11"/>
        <v>6076.3888888888978</v>
      </c>
      <c r="F93" s="114">
        <f t="shared" si="9"/>
        <v>-638888.88888888818</v>
      </c>
    </row>
    <row r="94" spans="1:7" ht="14.25" customHeight="1">
      <c r="B94" s="111">
        <f t="shared" si="8"/>
        <v>83</v>
      </c>
      <c r="C94" s="114">
        <f t="shared" si="10"/>
        <v>-7986.1111111111013</v>
      </c>
      <c r="D94" s="114">
        <f t="shared" si="12"/>
        <v>13888.888888888889</v>
      </c>
      <c r="E94" s="114">
        <f t="shared" si="11"/>
        <v>5902.7777777777874</v>
      </c>
      <c r="F94" s="114">
        <f t="shared" si="9"/>
        <v>-652777.77777777705</v>
      </c>
    </row>
    <row r="95" spans="1:7" ht="13.5" customHeight="1">
      <c r="A95" s="102">
        <v>7</v>
      </c>
      <c r="B95" s="116">
        <f t="shared" si="8"/>
        <v>84</v>
      </c>
      <c r="C95" s="117">
        <f t="shared" si="10"/>
        <v>-8159.7222222222126</v>
      </c>
      <c r="D95" s="117">
        <f t="shared" si="12"/>
        <v>13888.888888888889</v>
      </c>
      <c r="E95" s="117">
        <f t="shared" si="11"/>
        <v>5729.1666666666761</v>
      </c>
      <c r="F95" s="118">
        <f t="shared" si="9"/>
        <v>-666666.66666666593</v>
      </c>
      <c r="G95" s="119"/>
    </row>
    <row r="96" spans="1:7" ht="14.25" customHeight="1">
      <c r="B96" s="121">
        <f t="shared" si="8"/>
        <v>85</v>
      </c>
      <c r="C96" s="122">
        <f t="shared" si="10"/>
        <v>-8333.333333333323</v>
      </c>
      <c r="D96" s="122">
        <f t="shared" si="12"/>
        <v>13888.888888888889</v>
      </c>
      <c r="E96" s="122">
        <f t="shared" si="11"/>
        <v>5555.5555555555657</v>
      </c>
      <c r="F96" s="122">
        <f t="shared" si="9"/>
        <v>-680555.55555555481</v>
      </c>
    </row>
    <row r="97" spans="1:7" ht="14.25" customHeight="1">
      <c r="B97" s="111">
        <f t="shared" si="8"/>
        <v>86</v>
      </c>
      <c r="C97" s="114">
        <f t="shared" si="10"/>
        <v>-8506.9444444444343</v>
      </c>
      <c r="D97" s="114">
        <f t="shared" si="12"/>
        <v>13888.888888888889</v>
      </c>
      <c r="E97" s="114">
        <f t="shared" si="11"/>
        <v>5381.9444444444543</v>
      </c>
      <c r="F97" s="114">
        <f t="shared" si="9"/>
        <v>-694444.44444444368</v>
      </c>
    </row>
    <row r="98" spans="1:7" ht="14.25" customHeight="1">
      <c r="B98" s="111">
        <f t="shared" si="8"/>
        <v>87</v>
      </c>
      <c r="C98" s="114">
        <f t="shared" si="10"/>
        <v>-8680.5555555555457</v>
      </c>
      <c r="D98" s="114">
        <f t="shared" si="12"/>
        <v>13888.888888888889</v>
      </c>
      <c r="E98" s="114">
        <f t="shared" si="11"/>
        <v>5208.333333333343</v>
      </c>
      <c r="F98" s="114">
        <f t="shared" si="9"/>
        <v>-708333.33333333256</v>
      </c>
    </row>
    <row r="99" spans="1:7" ht="14.25" customHeight="1">
      <c r="B99" s="111">
        <f t="shared" si="8"/>
        <v>88</v>
      </c>
      <c r="C99" s="114">
        <f t="shared" si="10"/>
        <v>-8854.166666666657</v>
      </c>
      <c r="D99" s="114">
        <f t="shared" si="12"/>
        <v>13888.888888888889</v>
      </c>
      <c r="E99" s="114">
        <f t="shared" si="11"/>
        <v>5034.7222222222317</v>
      </c>
      <c r="F99" s="114">
        <f t="shared" si="9"/>
        <v>-722222.22222222143</v>
      </c>
    </row>
    <row r="100" spans="1:7" ht="14.25" customHeight="1">
      <c r="B100" s="111">
        <f t="shared" si="8"/>
        <v>89</v>
      </c>
      <c r="C100" s="114">
        <f t="shared" si="10"/>
        <v>-9027.7777777777665</v>
      </c>
      <c r="D100" s="114">
        <f t="shared" si="12"/>
        <v>13888.888888888889</v>
      </c>
      <c r="E100" s="114">
        <f t="shared" si="11"/>
        <v>4861.1111111111222</v>
      </c>
      <c r="F100" s="114">
        <f t="shared" si="9"/>
        <v>-736111.11111111031</v>
      </c>
    </row>
    <row r="101" spans="1:7" ht="14.25" customHeight="1">
      <c r="B101" s="111">
        <f t="shared" si="8"/>
        <v>90</v>
      </c>
      <c r="C101" s="114">
        <f t="shared" si="10"/>
        <v>-9201.3888888888778</v>
      </c>
      <c r="D101" s="114">
        <f t="shared" si="12"/>
        <v>13888.888888888889</v>
      </c>
      <c r="E101" s="114">
        <f t="shared" si="11"/>
        <v>4687.5000000000109</v>
      </c>
      <c r="F101" s="114">
        <f t="shared" si="9"/>
        <v>-749999.99999999919</v>
      </c>
    </row>
    <row r="102" spans="1:7" ht="14.25" customHeight="1">
      <c r="B102" s="111">
        <f t="shared" si="8"/>
        <v>91</v>
      </c>
      <c r="C102" s="114">
        <f t="shared" si="10"/>
        <v>-9374.9999999999891</v>
      </c>
      <c r="D102" s="114">
        <f t="shared" si="12"/>
        <v>13888.888888888889</v>
      </c>
      <c r="E102" s="114">
        <f t="shared" si="11"/>
        <v>4513.8888888888996</v>
      </c>
      <c r="F102" s="114">
        <f t="shared" si="9"/>
        <v>-763888.88888888806</v>
      </c>
    </row>
    <row r="103" spans="1:7" ht="14.25" customHeight="1">
      <c r="B103" s="111">
        <f t="shared" si="8"/>
        <v>92</v>
      </c>
      <c r="C103" s="114">
        <f t="shared" si="10"/>
        <v>-9548.6111111111004</v>
      </c>
      <c r="D103" s="114">
        <f t="shared" si="12"/>
        <v>13888.888888888889</v>
      </c>
      <c r="E103" s="114">
        <f t="shared" si="11"/>
        <v>4340.2777777777883</v>
      </c>
      <c r="F103" s="114">
        <f t="shared" si="9"/>
        <v>-777777.77777777694</v>
      </c>
    </row>
    <row r="104" spans="1:7" ht="14.25" customHeight="1">
      <c r="B104" s="111">
        <f t="shared" ref="B104:B131" si="13">B103+1</f>
        <v>93</v>
      </c>
      <c r="C104" s="114">
        <f t="shared" si="10"/>
        <v>-9722.2222222222117</v>
      </c>
      <c r="D104" s="114">
        <f t="shared" si="12"/>
        <v>13888.888888888889</v>
      </c>
      <c r="E104" s="114">
        <f t="shared" si="11"/>
        <v>4166.666666666677</v>
      </c>
      <c r="F104" s="114">
        <f t="shared" si="9"/>
        <v>-791666.66666666581</v>
      </c>
    </row>
    <row r="105" spans="1:7" ht="14.25" customHeight="1">
      <c r="B105" s="111">
        <f t="shared" si="13"/>
        <v>94</v>
      </c>
      <c r="C105" s="114">
        <f t="shared" si="10"/>
        <v>-9895.8333333333212</v>
      </c>
      <c r="D105" s="114">
        <f t="shared" si="12"/>
        <v>13888.888888888889</v>
      </c>
      <c r="E105" s="114">
        <f t="shared" si="11"/>
        <v>3993.0555555555675</v>
      </c>
      <c r="F105" s="114">
        <f t="shared" ref="F105:F131" si="14">F104-D105</f>
        <v>-805555.55555555469</v>
      </c>
    </row>
    <row r="106" spans="1:7" ht="14.25" customHeight="1">
      <c r="B106" s="111">
        <f t="shared" si="13"/>
        <v>95</v>
      </c>
      <c r="C106" s="114">
        <f t="shared" si="10"/>
        <v>-10069.444444444433</v>
      </c>
      <c r="D106" s="114">
        <f t="shared" si="12"/>
        <v>13888.888888888889</v>
      </c>
      <c r="E106" s="114">
        <f t="shared" si="11"/>
        <v>3819.4444444444562</v>
      </c>
      <c r="F106" s="114">
        <f t="shared" si="14"/>
        <v>-819444.44444444356</v>
      </c>
    </row>
    <row r="107" spans="1:7" ht="13.5" customHeight="1">
      <c r="A107" s="102">
        <v>8</v>
      </c>
      <c r="B107" s="116">
        <f t="shared" si="13"/>
        <v>96</v>
      </c>
      <c r="C107" s="117">
        <f t="shared" si="10"/>
        <v>-10243.055555555544</v>
      </c>
      <c r="D107" s="117">
        <f t="shared" si="12"/>
        <v>13888.888888888889</v>
      </c>
      <c r="E107" s="117">
        <f t="shared" si="11"/>
        <v>3645.8333333333449</v>
      </c>
      <c r="F107" s="117">
        <f t="shared" si="14"/>
        <v>-833333.33333333244</v>
      </c>
      <c r="G107" s="119"/>
    </row>
    <row r="108" spans="1:7" ht="14.25" customHeight="1">
      <c r="B108" s="121">
        <f t="shared" si="13"/>
        <v>97</v>
      </c>
      <c r="C108" s="122">
        <f t="shared" ref="C108:C131" si="15">F107*$D$5</f>
        <v>-10416.666666666655</v>
      </c>
      <c r="D108" s="122">
        <f t="shared" si="12"/>
        <v>13888.888888888889</v>
      </c>
      <c r="E108" s="122">
        <f t="shared" ref="E108:E131" si="16">C108+D108</f>
        <v>3472.2222222222335</v>
      </c>
      <c r="F108" s="122">
        <f t="shared" si="14"/>
        <v>-847222.22222222132</v>
      </c>
    </row>
    <row r="109" spans="1:7" ht="14.25" customHeight="1">
      <c r="B109" s="111">
        <f t="shared" si="13"/>
        <v>98</v>
      </c>
      <c r="C109" s="114">
        <f t="shared" si="15"/>
        <v>-10590.277777777766</v>
      </c>
      <c r="D109" s="114">
        <f t="shared" ref="D109:D131" si="17">D108</f>
        <v>13888.888888888889</v>
      </c>
      <c r="E109" s="114">
        <f t="shared" si="16"/>
        <v>3298.6111111111222</v>
      </c>
      <c r="F109" s="114">
        <f t="shared" si="14"/>
        <v>-861111.11111111019</v>
      </c>
    </row>
    <row r="110" spans="1:7" ht="14.25" customHeight="1">
      <c r="B110" s="111">
        <f t="shared" si="13"/>
        <v>99</v>
      </c>
      <c r="C110" s="114">
        <f t="shared" si="15"/>
        <v>-10763.888888888876</v>
      </c>
      <c r="D110" s="114">
        <f t="shared" si="17"/>
        <v>13888.888888888889</v>
      </c>
      <c r="E110" s="114">
        <f t="shared" si="16"/>
        <v>3125.0000000000127</v>
      </c>
      <c r="F110" s="114">
        <f t="shared" si="14"/>
        <v>-874999.99999999907</v>
      </c>
    </row>
    <row r="111" spans="1:7" ht="14.25" customHeight="1">
      <c r="B111" s="111">
        <f t="shared" si="13"/>
        <v>100</v>
      </c>
      <c r="C111" s="114">
        <f t="shared" si="15"/>
        <v>-10937.499999999987</v>
      </c>
      <c r="D111" s="114">
        <f t="shared" si="17"/>
        <v>13888.888888888889</v>
      </c>
      <c r="E111" s="114">
        <f t="shared" si="16"/>
        <v>2951.3888888889014</v>
      </c>
      <c r="F111" s="114">
        <f t="shared" si="14"/>
        <v>-888888.88888888794</v>
      </c>
    </row>
    <row r="112" spans="1:7" ht="14.25" customHeight="1">
      <c r="B112" s="111">
        <f t="shared" si="13"/>
        <v>101</v>
      </c>
      <c r="C112" s="114">
        <f t="shared" si="15"/>
        <v>-11111.111111111099</v>
      </c>
      <c r="D112" s="114">
        <f t="shared" si="17"/>
        <v>13888.888888888889</v>
      </c>
      <c r="E112" s="114">
        <f t="shared" si="16"/>
        <v>2777.7777777777901</v>
      </c>
      <c r="F112" s="114">
        <f t="shared" si="14"/>
        <v>-902777.77777777682</v>
      </c>
    </row>
    <row r="113" spans="1:7" ht="14.25" customHeight="1">
      <c r="B113" s="111">
        <f t="shared" si="13"/>
        <v>102</v>
      </c>
      <c r="C113" s="114">
        <f t="shared" si="15"/>
        <v>-11284.72222222221</v>
      </c>
      <c r="D113" s="114">
        <f t="shared" si="17"/>
        <v>13888.888888888889</v>
      </c>
      <c r="E113" s="114">
        <f t="shared" si="16"/>
        <v>2604.1666666666788</v>
      </c>
      <c r="F113" s="114">
        <f t="shared" si="14"/>
        <v>-916666.6666666657</v>
      </c>
    </row>
    <row r="114" spans="1:7" ht="14.25" customHeight="1">
      <c r="B114" s="111">
        <f t="shared" si="13"/>
        <v>103</v>
      </c>
      <c r="C114" s="114">
        <f t="shared" si="15"/>
        <v>-11458.333333333319</v>
      </c>
      <c r="D114" s="114">
        <f t="shared" si="17"/>
        <v>13888.888888888889</v>
      </c>
      <c r="E114" s="114">
        <f t="shared" si="16"/>
        <v>2430.5555555555693</v>
      </c>
      <c r="F114" s="114">
        <f t="shared" si="14"/>
        <v>-930555.55555555457</v>
      </c>
    </row>
    <row r="115" spans="1:7" ht="14.25" customHeight="1">
      <c r="B115" s="111">
        <f t="shared" si="13"/>
        <v>104</v>
      </c>
      <c r="C115" s="114">
        <f t="shared" si="15"/>
        <v>-11631.944444444431</v>
      </c>
      <c r="D115" s="114">
        <f t="shared" si="17"/>
        <v>13888.888888888889</v>
      </c>
      <c r="E115" s="114">
        <f t="shared" si="16"/>
        <v>2256.944444444458</v>
      </c>
      <c r="F115" s="114">
        <f t="shared" si="14"/>
        <v>-944444.44444444345</v>
      </c>
    </row>
    <row r="116" spans="1:7" ht="14.25" customHeight="1">
      <c r="B116" s="111">
        <f t="shared" si="13"/>
        <v>105</v>
      </c>
      <c r="C116" s="114">
        <f t="shared" si="15"/>
        <v>-11805.555555555542</v>
      </c>
      <c r="D116" s="114">
        <f t="shared" si="17"/>
        <v>13888.888888888889</v>
      </c>
      <c r="E116" s="114">
        <f t="shared" si="16"/>
        <v>2083.3333333333467</v>
      </c>
      <c r="F116" s="114">
        <f t="shared" si="14"/>
        <v>-958333.33333333232</v>
      </c>
    </row>
    <row r="117" spans="1:7" ht="14.25" customHeight="1">
      <c r="B117" s="111">
        <f t="shared" si="13"/>
        <v>106</v>
      </c>
      <c r="C117" s="114">
        <f t="shared" si="15"/>
        <v>-11979.166666666653</v>
      </c>
      <c r="D117" s="114">
        <f t="shared" si="17"/>
        <v>13888.888888888889</v>
      </c>
      <c r="E117" s="114">
        <f t="shared" si="16"/>
        <v>1909.7222222222354</v>
      </c>
      <c r="F117" s="114">
        <f t="shared" si="14"/>
        <v>-972222.2222222212</v>
      </c>
    </row>
    <row r="118" spans="1:7" ht="14.25" customHeight="1">
      <c r="B118" s="111">
        <f t="shared" si="13"/>
        <v>107</v>
      </c>
      <c r="C118" s="114">
        <f t="shared" si="15"/>
        <v>-12152.777777777765</v>
      </c>
      <c r="D118" s="114">
        <f t="shared" si="17"/>
        <v>13888.888888888889</v>
      </c>
      <c r="E118" s="114">
        <f t="shared" si="16"/>
        <v>1736.111111111124</v>
      </c>
      <c r="F118" s="114">
        <f t="shared" si="14"/>
        <v>-986111.11111111008</v>
      </c>
    </row>
    <row r="119" spans="1:7" ht="13.5" customHeight="1">
      <c r="A119" s="102">
        <v>9</v>
      </c>
      <c r="B119" s="116">
        <f t="shared" si="13"/>
        <v>108</v>
      </c>
      <c r="C119" s="117">
        <f t="shared" si="15"/>
        <v>-12326.388888888874</v>
      </c>
      <c r="D119" s="117">
        <f t="shared" si="17"/>
        <v>13888.888888888889</v>
      </c>
      <c r="E119" s="117">
        <f t="shared" si="16"/>
        <v>1562.5000000000146</v>
      </c>
      <c r="F119" s="118">
        <f t="shared" si="14"/>
        <v>-999999.99999999895</v>
      </c>
      <c r="G119" s="119"/>
    </row>
    <row r="120" spans="1:7" ht="14.25" customHeight="1">
      <c r="B120" s="121">
        <f t="shared" si="13"/>
        <v>109</v>
      </c>
      <c r="C120" s="122">
        <f t="shared" si="15"/>
        <v>-12499.999999999985</v>
      </c>
      <c r="D120" s="122">
        <f t="shared" si="17"/>
        <v>13888.888888888889</v>
      </c>
      <c r="E120" s="122">
        <f t="shared" si="16"/>
        <v>1388.8888888889032</v>
      </c>
      <c r="F120" s="122">
        <f t="shared" si="14"/>
        <v>-1013888.8888888878</v>
      </c>
    </row>
    <row r="121" spans="1:7" ht="14.25" customHeight="1">
      <c r="B121" s="111">
        <f t="shared" si="13"/>
        <v>110</v>
      </c>
      <c r="C121" s="114">
        <f t="shared" si="15"/>
        <v>-12673.611111111097</v>
      </c>
      <c r="D121" s="114">
        <f t="shared" si="17"/>
        <v>13888.888888888889</v>
      </c>
      <c r="E121" s="114">
        <f t="shared" si="16"/>
        <v>1215.2777777777919</v>
      </c>
      <c r="F121" s="114">
        <f t="shared" si="14"/>
        <v>-1027777.7777777767</v>
      </c>
    </row>
    <row r="122" spans="1:7" ht="14.25" customHeight="1">
      <c r="B122" s="111">
        <f t="shared" si="13"/>
        <v>111</v>
      </c>
      <c r="C122" s="114">
        <f t="shared" si="15"/>
        <v>-12847.222222222208</v>
      </c>
      <c r="D122" s="114">
        <f t="shared" si="17"/>
        <v>13888.888888888889</v>
      </c>
      <c r="E122" s="114">
        <f t="shared" si="16"/>
        <v>1041.6666666666806</v>
      </c>
      <c r="F122" s="114">
        <f t="shared" si="14"/>
        <v>-1041666.6666666656</v>
      </c>
    </row>
    <row r="123" spans="1:7" ht="14.25" customHeight="1">
      <c r="B123" s="111">
        <f t="shared" si="13"/>
        <v>112</v>
      </c>
      <c r="C123" s="114">
        <f t="shared" si="15"/>
        <v>-13020.833333333319</v>
      </c>
      <c r="D123" s="114">
        <f t="shared" si="17"/>
        <v>13888.888888888889</v>
      </c>
      <c r="E123" s="114">
        <f t="shared" si="16"/>
        <v>868.0555555555693</v>
      </c>
      <c r="F123" s="114">
        <f t="shared" si="14"/>
        <v>-1055555.5555555546</v>
      </c>
    </row>
    <row r="124" spans="1:7" ht="14.25" customHeight="1">
      <c r="B124" s="111">
        <f t="shared" si="13"/>
        <v>113</v>
      </c>
      <c r="C124" s="114">
        <f t="shared" si="15"/>
        <v>-13194.444444444431</v>
      </c>
      <c r="D124" s="114">
        <f t="shared" si="17"/>
        <v>13888.888888888889</v>
      </c>
      <c r="E124" s="114">
        <f t="shared" si="16"/>
        <v>694.44444444445799</v>
      </c>
      <c r="F124" s="114">
        <f t="shared" si="14"/>
        <v>-1069444.4444444436</v>
      </c>
    </row>
    <row r="125" spans="1:7" ht="14.25" customHeight="1">
      <c r="B125" s="111">
        <f t="shared" si="13"/>
        <v>114</v>
      </c>
      <c r="C125" s="114">
        <f t="shared" si="15"/>
        <v>-13368.055555555544</v>
      </c>
      <c r="D125" s="114">
        <f t="shared" si="17"/>
        <v>13888.888888888889</v>
      </c>
      <c r="E125" s="114">
        <f t="shared" si="16"/>
        <v>520.83333333334485</v>
      </c>
      <c r="F125" s="114">
        <f t="shared" si="14"/>
        <v>-1083333.3333333326</v>
      </c>
    </row>
    <row r="126" spans="1:7" ht="14.25" customHeight="1">
      <c r="B126" s="111">
        <f t="shared" si="13"/>
        <v>115</v>
      </c>
      <c r="C126" s="114">
        <f t="shared" si="15"/>
        <v>-13541.666666666655</v>
      </c>
      <c r="D126" s="114">
        <f t="shared" si="17"/>
        <v>13888.888888888889</v>
      </c>
      <c r="E126" s="114">
        <f t="shared" si="16"/>
        <v>347.22222222223354</v>
      </c>
      <c r="F126" s="114">
        <f t="shared" si="14"/>
        <v>-1097222.2222222215</v>
      </c>
    </row>
    <row r="127" spans="1:7" ht="14.25" customHeight="1">
      <c r="B127" s="111">
        <f t="shared" si="13"/>
        <v>116</v>
      </c>
      <c r="C127" s="114">
        <f t="shared" si="15"/>
        <v>-13715.277777777768</v>
      </c>
      <c r="D127" s="114">
        <f t="shared" si="17"/>
        <v>13888.888888888889</v>
      </c>
      <c r="E127" s="114">
        <f t="shared" si="16"/>
        <v>173.61111111112041</v>
      </c>
      <c r="F127" s="114">
        <f t="shared" si="14"/>
        <v>-1111111.1111111105</v>
      </c>
    </row>
    <row r="128" spans="1:7" ht="14.25" customHeight="1">
      <c r="B128" s="111">
        <f t="shared" si="13"/>
        <v>117</v>
      </c>
      <c r="C128" s="114">
        <f t="shared" si="15"/>
        <v>-13888.888888888881</v>
      </c>
      <c r="D128" s="114">
        <f t="shared" si="17"/>
        <v>13888.888888888889</v>
      </c>
      <c r="E128" s="114">
        <f t="shared" si="16"/>
        <v>0</v>
      </c>
      <c r="F128" s="114">
        <f t="shared" si="14"/>
        <v>-1124999.9999999995</v>
      </c>
    </row>
    <row r="129" spans="1:7" ht="14.25" customHeight="1">
      <c r="B129" s="111">
        <f t="shared" si="13"/>
        <v>118</v>
      </c>
      <c r="C129" s="114">
        <f t="shared" si="15"/>
        <v>-14062.499999999993</v>
      </c>
      <c r="D129" s="114">
        <f t="shared" si="17"/>
        <v>13888.888888888889</v>
      </c>
      <c r="E129" s="114">
        <f t="shared" si="16"/>
        <v>-173.61111111110404</v>
      </c>
      <c r="F129" s="114">
        <f t="shared" si="14"/>
        <v>-1138888.8888888885</v>
      </c>
    </row>
    <row r="130" spans="1:7" ht="14.25" customHeight="1">
      <c r="B130" s="111">
        <f t="shared" si="13"/>
        <v>119</v>
      </c>
      <c r="C130" s="114">
        <f t="shared" si="15"/>
        <v>-14236.111111111106</v>
      </c>
      <c r="D130" s="114">
        <f t="shared" si="17"/>
        <v>13888.888888888889</v>
      </c>
      <c r="E130" s="114">
        <f t="shared" si="16"/>
        <v>-347.22222222221717</v>
      </c>
      <c r="F130" s="114">
        <f t="shared" si="14"/>
        <v>-1152777.7777777775</v>
      </c>
    </row>
    <row r="131" spans="1:7" ht="13.5" customHeight="1">
      <c r="A131" s="102">
        <v>10</v>
      </c>
      <c r="B131" s="116">
        <f t="shared" si="13"/>
        <v>120</v>
      </c>
      <c r="C131" s="117">
        <f t="shared" si="15"/>
        <v>-14409.722222222217</v>
      </c>
      <c r="D131" s="117">
        <f t="shared" si="17"/>
        <v>13888.888888888889</v>
      </c>
      <c r="E131" s="123">
        <f t="shared" si="16"/>
        <v>-520.83333333332848</v>
      </c>
      <c r="F131" s="118">
        <f t="shared" si="14"/>
        <v>-1166666.6666666665</v>
      </c>
      <c r="G131" s="119"/>
    </row>
  </sheetData>
  <mergeCells count="1">
    <mergeCell ref="C1:D2"/>
  </mergeCells>
  <conditionalFormatting sqref="C11:C131">
    <cfRule type="cellIs" dxfId="3" priority="3" operator="lessThan">
      <formula>0</formula>
    </cfRule>
  </conditionalFormatting>
  <conditionalFormatting sqref="F12:F131">
    <cfRule type="cellIs" dxfId="2" priority="2" operator="lessThan">
      <formula>0</formula>
    </cfRule>
  </conditionalFormatting>
  <pageMargins left="0.7" right="0.7" top="0.75" bottom="0.75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23416"/>
  </sheetPr>
  <dimension ref="A1:R69"/>
  <sheetViews>
    <sheetView showGridLines="0" zoomScale="130" zoomScaleNormal="130" workbookViewId="0"/>
  </sheetViews>
  <sheetFormatPr baseColWidth="10" defaultColWidth="13" defaultRowHeight="14" outlineLevelRow="2"/>
  <cols>
    <col min="1" max="1" width="4.59765625" style="51" customWidth="1"/>
    <col min="2" max="4" width="23" style="124" customWidth="1"/>
    <col min="5" max="5" width="16.19921875" style="124" customWidth="1"/>
    <col min="6" max="8" width="18.3984375" style="124" customWidth="1"/>
    <col min="9" max="9" width="23" style="124" customWidth="1"/>
    <col min="10" max="13" width="23" style="125" customWidth="1"/>
    <col min="14" max="16" width="23" style="51" customWidth="1"/>
    <col min="17" max="17" width="6" style="51" customWidth="1"/>
    <col min="18" max="16384" width="13" style="51"/>
  </cols>
  <sheetData>
    <row r="1" spans="1:15" ht="31.5" customHeight="1">
      <c r="A1" s="126"/>
      <c r="B1" s="309"/>
      <c r="C1" s="309"/>
      <c r="D1" s="309"/>
      <c r="E1" s="309"/>
    </row>
    <row r="2" spans="1:15" ht="23.25" customHeight="1">
      <c r="A2" s="126"/>
      <c r="B2" s="310" t="s">
        <v>227</v>
      </c>
      <c r="C2" s="310"/>
      <c r="D2" s="310"/>
      <c r="E2" s="310"/>
    </row>
    <row r="3" spans="1:15" ht="15" customHeight="1" thickBot="1">
      <c r="A3" s="126"/>
      <c r="H3" s="51"/>
      <c r="I3" s="51"/>
      <c r="J3" s="127"/>
      <c r="K3" s="127"/>
      <c r="L3" s="127"/>
      <c r="M3" s="127"/>
    </row>
    <row r="4" spans="1:15" s="132" customFormat="1" ht="37.5" customHeight="1" thickBot="1">
      <c r="A4" s="128"/>
      <c r="B4" s="311" t="s">
        <v>228</v>
      </c>
      <c r="C4" s="311"/>
      <c r="D4" s="311"/>
      <c r="E4" s="129">
        <f>MIN('Presupuesto Anual'!D89:O89,'Presupuesto Anual'!R89,'Presupuesto Anual'!S89,'Presupuesto Anual'!T89,'Presupuesto Anual'!U89)</f>
        <v>-808619.84722222225</v>
      </c>
      <c r="F4" s="124"/>
      <c r="G4" s="124"/>
      <c r="H4" s="130"/>
      <c r="I4" s="130"/>
      <c r="J4" s="131"/>
      <c r="K4" s="131"/>
      <c r="L4" s="131"/>
      <c r="M4" s="131"/>
      <c r="N4" s="132" t="s">
        <v>229</v>
      </c>
      <c r="O4" s="133"/>
    </row>
    <row r="5" spans="1:15" s="132" customFormat="1" ht="37.5" customHeight="1" thickBot="1">
      <c r="A5" s="128"/>
      <c r="F5" s="134"/>
      <c r="G5" s="124"/>
      <c r="H5" s="130"/>
      <c r="I5" s="130"/>
      <c r="J5" s="131"/>
      <c r="K5" s="131"/>
      <c r="L5" s="131"/>
      <c r="M5" s="131"/>
      <c r="O5" s="133"/>
    </row>
    <row r="6" spans="1:15" s="132" customFormat="1" ht="22.5" customHeight="1" thickBot="1">
      <c r="A6" s="128"/>
      <c r="B6" s="311" t="s">
        <v>230</v>
      </c>
      <c r="C6" s="311"/>
      <c r="D6" s="311"/>
      <c r="E6" s="135">
        <f>IRR(I28:I33)</f>
        <v>0.87225097125400919</v>
      </c>
      <c r="F6" s="136"/>
      <c r="G6" s="124"/>
      <c r="H6" s="130"/>
      <c r="I6" s="130"/>
      <c r="J6" s="131"/>
      <c r="K6" s="131"/>
      <c r="L6" s="131"/>
      <c r="M6" s="131"/>
      <c r="O6" s="133"/>
    </row>
    <row r="7" spans="1:15" s="132" customFormat="1" ht="22.5" customHeight="1" thickBot="1">
      <c r="A7" s="128"/>
      <c r="B7" s="311" t="s">
        <v>231</v>
      </c>
      <c r="C7" s="311"/>
      <c r="D7" s="311"/>
      <c r="E7" s="135">
        <f>IRR(I28:I34)</f>
        <v>0.9105055304992451</v>
      </c>
      <c r="F7" s="136"/>
      <c r="G7" s="124"/>
      <c r="H7" s="137"/>
      <c r="I7" s="130"/>
      <c r="J7" s="131"/>
      <c r="K7" s="131"/>
      <c r="L7" s="131"/>
      <c r="M7" s="131"/>
      <c r="O7" s="133"/>
    </row>
    <row r="8" spans="1:15" s="132" customFormat="1" ht="22.5" customHeight="1" thickBot="1">
      <c r="A8" s="128"/>
      <c r="B8" s="138"/>
      <c r="C8" s="139"/>
      <c r="D8" s="139" t="s">
        <v>232</v>
      </c>
      <c r="E8" s="129">
        <f>J34</f>
        <v>947336.45995785482</v>
      </c>
      <c r="F8" s="140"/>
      <c r="G8" s="124"/>
      <c r="H8" s="130"/>
      <c r="I8" s="130"/>
      <c r="J8" s="131"/>
      <c r="K8" s="131"/>
      <c r="L8" s="131"/>
      <c r="M8" s="131"/>
      <c r="O8" s="133"/>
    </row>
    <row r="9" spans="1:15" s="132" customFormat="1" ht="22.5" customHeight="1" thickBot="1">
      <c r="A9" s="128"/>
      <c r="B9" s="313" t="s">
        <v>233</v>
      </c>
      <c r="C9" s="313"/>
      <c r="D9" s="313"/>
      <c r="E9" s="141">
        <f>K48</f>
        <v>2</v>
      </c>
      <c r="F9" s="140"/>
      <c r="G9" s="124"/>
      <c r="H9" s="130"/>
      <c r="I9" s="130"/>
      <c r="J9" s="131"/>
      <c r="K9" s="131"/>
      <c r="L9" s="131"/>
      <c r="M9" s="131"/>
      <c r="O9" s="133"/>
    </row>
    <row r="10" spans="1:15" s="132" customFormat="1" ht="22.5" customHeight="1" thickBot="1">
      <c r="A10" s="128"/>
      <c r="B10" s="313" t="s">
        <v>234</v>
      </c>
      <c r="C10" s="313"/>
      <c r="D10" s="313"/>
      <c r="E10" s="141">
        <f>K34</f>
        <v>1.1902474181145273</v>
      </c>
      <c r="F10" s="140"/>
      <c r="G10" s="124"/>
      <c r="H10" s="130"/>
      <c r="I10" s="130"/>
      <c r="J10" s="131"/>
      <c r="K10" s="131"/>
      <c r="L10" s="131"/>
      <c r="M10" s="131"/>
    </row>
    <row r="11" spans="1:15" ht="33.75" customHeight="1">
      <c r="F11" s="140"/>
    </row>
    <row r="12" spans="1:15" ht="21.75" customHeight="1" thickBot="1">
      <c r="B12" s="312" t="s">
        <v>235</v>
      </c>
      <c r="C12" s="312"/>
      <c r="D12" s="312"/>
      <c r="E12" s="312"/>
      <c r="F12" s="140"/>
    </row>
    <row r="13" spans="1:15" s="132" customFormat="1" ht="22.5" customHeight="1" thickBot="1">
      <c r="A13" s="128"/>
      <c r="B13" s="313" t="s">
        <v>236</v>
      </c>
      <c r="C13" s="313"/>
      <c r="D13" s="313"/>
      <c r="E13" s="142">
        <f>I34+J34</f>
        <v>2223869.9610648919</v>
      </c>
      <c r="F13" s="140"/>
      <c r="G13" s="124"/>
      <c r="H13" s="130"/>
      <c r="I13" s="130"/>
      <c r="J13" s="131"/>
      <c r="K13" s="131"/>
      <c r="L13" s="131"/>
      <c r="M13" s="131"/>
    </row>
    <row r="14" spans="1:15" ht="14.25" customHeight="1" thickBot="1">
      <c r="D14" s="143" t="s">
        <v>121</v>
      </c>
      <c r="E14" s="144">
        <v>0</v>
      </c>
    </row>
    <row r="15" spans="1:15" ht="16.5" customHeight="1" thickBot="1">
      <c r="D15" s="145" t="s">
        <v>237</v>
      </c>
      <c r="E15" s="144">
        <v>0</v>
      </c>
    </row>
    <row r="16" spans="1:15" ht="13.5" customHeight="1" thickBot="1">
      <c r="D16" s="146" t="s">
        <v>238</v>
      </c>
      <c r="E16" s="144">
        <v>0</v>
      </c>
    </row>
    <row r="17" spans="1:15" s="132" customFormat="1" ht="22.5" customHeight="1" thickBot="1">
      <c r="A17" s="128"/>
      <c r="B17" s="314" t="s">
        <v>239</v>
      </c>
      <c r="C17" s="314"/>
      <c r="D17" s="314"/>
      <c r="E17" s="142">
        <f>E13+E14-E15-E16</f>
        <v>2223869.9610648919</v>
      </c>
      <c r="F17" s="147"/>
      <c r="G17" s="148"/>
      <c r="H17" s="130"/>
      <c r="I17" s="130"/>
      <c r="J17" s="131"/>
      <c r="K17" s="131"/>
      <c r="L17" s="131"/>
      <c r="M17" s="131"/>
    </row>
    <row r="18" spans="1:15" s="132" customFormat="1" ht="22.5" customHeight="1" thickBot="1">
      <c r="A18" s="128"/>
      <c r="B18" s="311" t="s">
        <v>240</v>
      </c>
      <c r="C18" s="311"/>
      <c r="D18" s="311"/>
      <c r="E18" s="149">
        <f>-E4/E17</f>
        <v>0.36360932130897511</v>
      </c>
      <c r="F18" s="140"/>
      <c r="G18" s="124"/>
      <c r="H18" s="137"/>
      <c r="I18" s="130"/>
      <c r="J18" s="131"/>
      <c r="K18" s="131"/>
      <c r="L18" s="131"/>
      <c r="M18" s="131"/>
      <c r="O18" s="133"/>
    </row>
    <row r="19" spans="1:15" ht="13.5" customHeight="1">
      <c r="E19" s="150"/>
    </row>
    <row r="20" spans="1:15" ht="21.75" customHeight="1" thickBot="1">
      <c r="B20" s="312" t="s">
        <v>241</v>
      </c>
      <c r="C20" s="312"/>
      <c r="D20" s="312"/>
      <c r="E20" s="312"/>
      <c r="F20" s="140"/>
    </row>
    <row r="21" spans="1:15" s="132" customFormat="1" ht="22.5" customHeight="1" thickBot="1">
      <c r="A21" s="128"/>
      <c r="B21" s="151"/>
      <c r="C21" s="151"/>
      <c r="D21" s="152"/>
      <c r="E21" s="153">
        <v>8.854838244959943</v>
      </c>
      <c r="F21" s="140"/>
      <c r="G21" s="124"/>
      <c r="H21" s="130"/>
      <c r="I21" s="130"/>
      <c r="J21" s="131"/>
      <c r="K21" s="131"/>
      <c r="L21" s="131"/>
      <c r="M21" s="131"/>
    </row>
    <row r="22" spans="1:15" s="132" customFormat="1" ht="22.5" customHeight="1" thickBot="1">
      <c r="A22" s="128"/>
      <c r="B22" s="313" t="s">
        <v>242</v>
      </c>
      <c r="C22" s="313"/>
      <c r="D22" s="313"/>
      <c r="E22" s="142">
        <f>((MEDIAN('Presupuesto Anual'!Q69:U69)*E21)/(1+'Costo de Capital'!C28)^B33)</f>
        <v>2223870</v>
      </c>
      <c r="F22" s="140"/>
      <c r="G22" s="124"/>
      <c r="H22" s="130"/>
      <c r="I22" s="130"/>
      <c r="J22" s="131"/>
      <c r="K22" s="131"/>
      <c r="L22" s="131"/>
      <c r="M22" s="131"/>
    </row>
    <row r="23" spans="1:15" s="132" customFormat="1" ht="22.5" customHeight="1" thickBot="1">
      <c r="A23" s="128"/>
      <c r="B23" s="311" t="s">
        <v>243</v>
      </c>
      <c r="C23" s="311"/>
      <c r="D23" s="311"/>
      <c r="E23" s="149">
        <f>(-E4/E22)</f>
        <v>0.36360931494296977</v>
      </c>
      <c r="F23" s="140"/>
      <c r="G23" s="124"/>
      <c r="H23" s="137"/>
      <c r="I23" s="130"/>
      <c r="J23" s="131"/>
      <c r="K23" s="131"/>
      <c r="L23" s="131"/>
      <c r="M23" s="131"/>
      <c r="O23" s="133"/>
    </row>
    <row r="24" spans="1:15" ht="33.75" customHeight="1">
      <c r="F24" s="140"/>
    </row>
    <row r="26" spans="1:15" ht="13.5" customHeight="1" outlineLevel="1">
      <c r="E26" s="125"/>
      <c r="F26" s="125"/>
      <c r="G26" s="125"/>
      <c r="H26" s="125"/>
      <c r="I26" s="51"/>
      <c r="L26" s="51"/>
      <c r="M26" s="51"/>
    </row>
    <row r="27" spans="1:15" ht="54.75" customHeight="1" outlineLevel="1" thickBot="1">
      <c r="B27" s="154" t="s">
        <v>244</v>
      </c>
      <c r="C27" s="154" t="s">
        <v>245</v>
      </c>
      <c r="D27" s="154" t="s">
        <v>246</v>
      </c>
      <c r="E27" s="154" t="s">
        <v>247</v>
      </c>
      <c r="F27" s="154" t="s">
        <v>248</v>
      </c>
      <c r="G27" s="155" t="s">
        <v>249</v>
      </c>
      <c r="H27" s="155" t="s">
        <v>250</v>
      </c>
      <c r="I27" s="156" t="s">
        <v>253</v>
      </c>
      <c r="J27" s="154" t="s">
        <v>251</v>
      </c>
      <c r="K27" s="157" t="s">
        <v>252</v>
      </c>
      <c r="L27" s="51"/>
      <c r="M27" s="51"/>
      <c r="N27" s="158"/>
    </row>
    <row r="28" spans="1:15" ht="15" customHeight="1" outlineLevel="1" thickBot="1">
      <c r="B28" s="159">
        <v>0</v>
      </c>
      <c r="C28" s="160">
        <f>-E4</f>
        <v>808619.84722222225</v>
      </c>
      <c r="D28" s="161"/>
      <c r="E28" s="162"/>
      <c r="F28" s="163"/>
      <c r="G28" s="164"/>
      <c r="H28" s="164"/>
      <c r="I28" s="165">
        <f>-C28</f>
        <v>-808619.84722222225</v>
      </c>
      <c r="J28" s="166">
        <f>I28</f>
        <v>-808619.84722222225</v>
      </c>
      <c r="K28" s="167">
        <f>J28</f>
        <v>-808619.84722222225</v>
      </c>
      <c r="L28" s="168">
        <v>0</v>
      </c>
      <c r="M28" s="51"/>
      <c r="N28" s="169"/>
    </row>
    <row r="29" spans="1:15" ht="15" customHeight="1" outlineLevel="1">
      <c r="B29" s="170" t="s">
        <v>167</v>
      </c>
      <c r="C29" s="171"/>
      <c r="D29" s="172">
        <f>'Presupuesto Anual'!Q69</f>
        <v>757591.61666666681</v>
      </c>
      <c r="E29" s="173">
        <f>D29</f>
        <v>757591.61666666681</v>
      </c>
      <c r="F29" s="174">
        <f>'Presupuesto Anual'!Q62+'Presupuesto Anual'!Q67</f>
        <v>132858.33333333331</v>
      </c>
      <c r="G29" s="175">
        <f>F64</f>
        <v>-39894.793750000004</v>
      </c>
      <c r="H29" s="175">
        <v>0</v>
      </c>
      <c r="I29" s="176">
        <f>SUM(E29:H29)</f>
        <v>850555.15625000023</v>
      </c>
      <c r="J29" s="177">
        <f>I29/(1+'Costo de Capital'!$C$28)^B29</f>
        <v>682026.42630903726</v>
      </c>
      <c r="K29" s="178">
        <f>K28+J29</f>
        <v>-126593.42091318499</v>
      </c>
      <c r="L29" s="179">
        <v>1</v>
      </c>
      <c r="M29" s="51"/>
      <c r="N29" s="169"/>
    </row>
    <row r="30" spans="1:15" ht="15" customHeight="1" outlineLevel="1">
      <c r="B30" s="170" t="s">
        <v>168</v>
      </c>
      <c r="C30" s="171"/>
      <c r="D30" s="172">
        <f>'Presupuesto Anual'!R69</f>
        <v>1677570.6952249999</v>
      </c>
      <c r="E30" s="173">
        <f>D30-IF(D30&gt;0,D30*(SUPUESTOS!$D$3+SUPUESTOS!$D$4),0)</f>
        <v>1006542.4171349999</v>
      </c>
      <c r="F30" s="174">
        <f>'Presupuesto Anual'!R62+'Presupuesto Anual'!R67</f>
        <v>40700</v>
      </c>
      <c r="G30" s="175">
        <f>F65</f>
        <v>-12350.672073958332</v>
      </c>
      <c r="H30" s="175">
        <v>0</v>
      </c>
      <c r="I30" s="176">
        <f>SUM(E30:H30)</f>
        <v>1034891.7450610416</v>
      </c>
      <c r="J30" s="177">
        <f>I30/(1+'Costo de Capital'!$C$28)^B30</f>
        <v>665414.65933049785</v>
      </c>
      <c r="K30" s="178">
        <f>K29+J30</f>
        <v>538821.23841731285</v>
      </c>
      <c r="L30" s="179">
        <v>2</v>
      </c>
      <c r="M30" s="51"/>
      <c r="N30" s="169"/>
    </row>
    <row r="31" spans="1:15" ht="15" customHeight="1" outlineLevel="1">
      <c r="B31" s="170" t="s">
        <v>169</v>
      </c>
      <c r="C31" s="171"/>
      <c r="D31" s="172">
        <f>'Presupuesto Anual'!S69</f>
        <v>-98795.70383390598</v>
      </c>
      <c r="E31" s="173">
        <f>D31-IF(D31&gt;0,D31*(SUPUESTOS!$D$3+SUPUESTOS!$D$4),0)</f>
        <v>-98795.70383390598</v>
      </c>
      <c r="F31" s="174">
        <f>'Presupuesto Anual'!S62+'Presupuesto Anual'!S67</f>
        <v>40700</v>
      </c>
      <c r="G31" s="175">
        <f>F66</f>
        <v>-13504.023814954417</v>
      </c>
      <c r="H31" s="175">
        <v>0</v>
      </c>
      <c r="I31" s="176">
        <f>SUM(E31:H31)</f>
        <v>-71599.727648860397</v>
      </c>
      <c r="J31" s="177">
        <f>I31/(1+'Costo de Capital'!$C$28)^B31</f>
        <v>-36915.396093713731</v>
      </c>
      <c r="K31" s="178">
        <f>K30+J31</f>
        <v>501905.84232359915</v>
      </c>
      <c r="L31" s="179">
        <v>3</v>
      </c>
      <c r="M31" s="51"/>
      <c r="N31" s="169"/>
    </row>
    <row r="32" spans="1:15" ht="15" customHeight="1" outlineLevel="1">
      <c r="B32" s="170" t="s">
        <v>170</v>
      </c>
      <c r="C32" s="171"/>
      <c r="D32" s="172">
        <f>'Presupuesto Anual'!T69</f>
        <v>666002.47602141555</v>
      </c>
      <c r="E32" s="173">
        <f>D32-IF(D32&gt;0,D32*(SUPUESTOS!$D$3+SUPUESTOS!$D$4),0)</f>
        <v>399601.4856128493</v>
      </c>
      <c r="F32" s="174">
        <f>'Presupuesto Anual'!T62+'Presupuesto Anual'!T67</f>
        <v>40700</v>
      </c>
      <c r="G32" s="175">
        <f>F67</f>
        <v>-13699.6783676169</v>
      </c>
      <c r="H32" s="175">
        <v>0</v>
      </c>
      <c r="I32" s="176">
        <f>SUM(E32:H32)</f>
        <v>426601.8072452324</v>
      </c>
      <c r="J32" s="177">
        <f>I32/(1+'Costo de Capital'!$C$28)^B32</f>
        <v>176367.10007082098</v>
      </c>
      <c r="K32" s="178">
        <f>K31+J32</f>
        <v>678272.94239442016</v>
      </c>
      <c r="L32" s="179">
        <v>4</v>
      </c>
      <c r="M32" s="51"/>
      <c r="N32" s="169"/>
    </row>
    <row r="33" spans="2:14" ht="15.75" customHeight="1" outlineLevel="1" thickBot="1">
      <c r="B33" s="170" t="s">
        <v>171</v>
      </c>
      <c r="C33" s="171"/>
      <c r="D33" s="172">
        <f>'Presupuesto Anual'!U69</f>
        <v>1305845.9714953909</v>
      </c>
      <c r="E33" s="173">
        <f>D33-IF(D33&gt;0,D33*(SUPUESTOS!$D$3+SUPUESTOS!$D$4),0)</f>
        <v>783507.58289723448</v>
      </c>
      <c r="F33" s="174">
        <f>'Presupuesto Anual'!U62+'Presupuesto Anual'!U67</f>
        <v>40700</v>
      </c>
      <c r="G33" s="175">
        <f>F68</f>
        <v>-12571.751369492296</v>
      </c>
      <c r="H33" s="175">
        <v>0</v>
      </c>
      <c r="I33" s="176">
        <f t="shared" ref="I33" si="0">SUM(E33:H33)</f>
        <v>811635.83152774221</v>
      </c>
      <c r="J33" s="177">
        <f>I33/(1+'Costo de Capital'!$C$28)^B33</f>
        <v>269063.51756343461</v>
      </c>
      <c r="K33" s="178">
        <f>K32+J33</f>
        <v>947336.45995785482</v>
      </c>
      <c r="L33" s="179">
        <v>5</v>
      </c>
      <c r="M33" s="51"/>
      <c r="N33" s="169"/>
    </row>
    <row r="34" spans="2:14" ht="15.75" customHeight="1" outlineLevel="1" thickBot="1">
      <c r="F34" s="125"/>
      <c r="G34" s="125"/>
      <c r="H34" s="180" t="s">
        <v>254</v>
      </c>
      <c r="I34" s="181">
        <f>J56</f>
        <v>1276533.5011070368</v>
      </c>
      <c r="J34" s="182">
        <f>SUM(J28:J33)</f>
        <v>947336.45995785482</v>
      </c>
      <c r="K34" s="183">
        <f>K37+ABS(K38)/K39</f>
        <v>1.1902474181145273</v>
      </c>
      <c r="L34" s="51"/>
      <c r="M34" s="51"/>
    </row>
    <row r="35" spans="2:14" ht="13.5" customHeight="1" outlineLevel="1">
      <c r="F35" s="125"/>
      <c r="G35" s="125"/>
      <c r="H35" s="125"/>
      <c r="I35" s="184"/>
      <c r="J35" s="185">
        <f>NPV('Costo de Capital'!C28,I29:I33)+I28</f>
        <v>947336.45995785482</v>
      </c>
      <c r="K35" s="186"/>
      <c r="L35" s="51"/>
      <c r="M35" s="51"/>
    </row>
    <row r="36" spans="2:14" ht="13.5" customHeight="1" outlineLevel="1">
      <c r="F36" s="125"/>
      <c r="G36" s="125"/>
      <c r="H36" s="125"/>
      <c r="I36" s="187"/>
      <c r="J36" s="188"/>
      <c r="K36" s="189"/>
      <c r="L36" s="51"/>
      <c r="M36" s="51"/>
    </row>
    <row r="37" spans="2:14" ht="13.5" customHeight="1" outlineLevel="2">
      <c r="F37" s="125"/>
      <c r="G37" s="125"/>
      <c r="H37" s="125"/>
      <c r="I37" s="51"/>
      <c r="J37" s="190" t="s">
        <v>255</v>
      </c>
      <c r="K37" s="191">
        <f>SUMPRODUCT(--(K29:K33&lt;0))</f>
        <v>1</v>
      </c>
      <c r="L37" s="51"/>
      <c r="M37" s="51"/>
    </row>
    <row r="38" spans="2:14" ht="13.5" customHeight="1" outlineLevel="2">
      <c r="F38" s="125"/>
      <c r="G38" s="125"/>
      <c r="H38" s="125"/>
      <c r="I38" s="51"/>
      <c r="J38" s="190" t="s">
        <v>256</v>
      </c>
      <c r="K38" s="192">
        <f>IFERROR(INDEX(K29:K33,K37),0)</f>
        <v>-126593.42091318499</v>
      </c>
      <c r="L38" s="51"/>
      <c r="M38" s="51"/>
    </row>
    <row r="39" spans="2:14" ht="13.5" customHeight="1" outlineLevel="2">
      <c r="F39" s="125"/>
      <c r="G39" s="125"/>
      <c r="H39" s="125"/>
      <c r="I39" s="51"/>
      <c r="J39" s="190" t="s">
        <v>257</v>
      </c>
      <c r="K39" s="192">
        <f>IFERROR(INDEX(J29:J33,K37+1),J33)</f>
        <v>665414.65933049785</v>
      </c>
      <c r="L39" s="51"/>
      <c r="M39" s="51"/>
    </row>
    <row r="40" spans="2:14" ht="13.5" customHeight="1" outlineLevel="2">
      <c r="F40" s="125"/>
      <c r="G40" s="125"/>
      <c r="H40" s="125"/>
      <c r="I40" s="51"/>
      <c r="J40" s="51"/>
      <c r="K40" s="51"/>
      <c r="L40" s="51"/>
      <c r="M40" s="51"/>
    </row>
    <row r="41" spans="2:14" ht="13.5" customHeight="1" outlineLevel="2">
      <c r="F41" s="125"/>
      <c r="G41" s="125"/>
      <c r="H41" s="125"/>
      <c r="I41" s="51"/>
      <c r="J41" s="51"/>
      <c r="K41" s="1" t="s">
        <v>258</v>
      </c>
      <c r="L41" s="51"/>
      <c r="M41" s="51"/>
    </row>
    <row r="42" spans="2:14" ht="15.75" customHeight="1" outlineLevel="2">
      <c r="F42" s="125"/>
      <c r="G42" s="125"/>
      <c r="H42" s="125"/>
      <c r="I42" s="51"/>
      <c r="J42" s="51"/>
      <c r="K42" s="192">
        <f>'Presupuesto Anual'!Q69</f>
        <v>757591.61666666681</v>
      </c>
      <c r="L42" s="193">
        <v>1</v>
      </c>
      <c r="M42" s="51"/>
    </row>
    <row r="43" spans="2:14" ht="15.75" customHeight="1" outlineLevel="2">
      <c r="F43" s="125"/>
      <c r="G43" s="125"/>
      <c r="H43" s="125"/>
      <c r="I43" s="51"/>
      <c r="J43" s="51"/>
      <c r="K43" s="192">
        <f>'Presupuesto Anual'!R69</f>
        <v>1677570.6952249999</v>
      </c>
      <c r="L43" s="193">
        <v>2</v>
      </c>
      <c r="M43" s="51"/>
    </row>
    <row r="44" spans="2:14" ht="15.75" customHeight="1" outlineLevel="2">
      <c r="F44" s="125"/>
      <c r="G44" s="125"/>
      <c r="H44" s="125"/>
      <c r="I44" s="51"/>
      <c r="J44" s="51"/>
      <c r="K44" s="192">
        <f>'Presupuesto Anual'!S69</f>
        <v>-98795.70383390598</v>
      </c>
      <c r="L44" s="193">
        <v>3</v>
      </c>
      <c r="M44" s="51"/>
    </row>
    <row r="45" spans="2:14" ht="15.75" customHeight="1" outlineLevel="2">
      <c r="F45" s="125"/>
      <c r="G45" s="125"/>
      <c r="H45" s="194"/>
      <c r="I45" s="51"/>
      <c r="J45" s="51"/>
      <c r="K45" s="192">
        <f>'Presupuesto Anual'!T69</f>
        <v>666002.47602141555</v>
      </c>
      <c r="L45" s="193">
        <v>4</v>
      </c>
      <c r="M45" s="51"/>
    </row>
    <row r="46" spans="2:14" ht="15.75" customHeight="1" outlineLevel="2">
      <c r="F46" s="125"/>
      <c r="G46" s="125"/>
      <c r="H46" s="194"/>
      <c r="I46" s="51"/>
      <c r="J46" s="51"/>
      <c r="K46" s="192">
        <f>'Presupuesto Anual'!U69</f>
        <v>1305845.9714953909</v>
      </c>
      <c r="L46" s="193">
        <v>5</v>
      </c>
      <c r="M46" s="51"/>
    </row>
    <row r="47" spans="2:14" ht="13.5" customHeight="1" outlineLevel="2">
      <c r="F47" s="125"/>
      <c r="G47" s="125"/>
      <c r="H47" s="194"/>
      <c r="I47" s="51"/>
      <c r="J47" s="51"/>
      <c r="K47" s="195"/>
      <c r="L47" s="51"/>
      <c r="M47" s="51"/>
    </row>
    <row r="48" spans="2:14" ht="13.5" customHeight="1" outlineLevel="2">
      <c r="F48" s="125"/>
      <c r="G48" s="125"/>
      <c r="H48" s="125"/>
      <c r="I48" s="51"/>
      <c r="J48" s="190" t="s">
        <v>255</v>
      </c>
      <c r="K48" s="196">
        <f>SUMPRODUCT(--(K42:K46&lt;0))+1</f>
        <v>2</v>
      </c>
      <c r="L48" s="51"/>
      <c r="M48" s="51"/>
    </row>
    <row r="49" spans="1:18" ht="13.5" customHeight="1" outlineLevel="2">
      <c r="F49" s="125"/>
      <c r="G49" s="125"/>
      <c r="H49" s="125"/>
      <c r="I49" s="51"/>
      <c r="J49" s="190" t="s">
        <v>256</v>
      </c>
      <c r="K49" s="197">
        <f>IFERROR(INDEX(K42:K46,SUMPRODUCT(--(K42:K46&lt;0))),0)</f>
        <v>757591.61666666681</v>
      </c>
      <c r="L49" s="51"/>
      <c r="M49" s="51"/>
    </row>
    <row r="50" spans="1:18" ht="13.5" customHeight="1" outlineLevel="2">
      <c r="F50" s="125"/>
      <c r="G50" s="125"/>
      <c r="H50" s="125"/>
      <c r="I50" s="125"/>
      <c r="J50" s="51"/>
      <c r="K50" s="51"/>
      <c r="L50" s="51"/>
      <c r="M50" s="51"/>
    </row>
    <row r="51" spans="1:18" ht="13.5" customHeight="1" outlineLevel="2">
      <c r="F51" s="125"/>
      <c r="G51" s="125"/>
      <c r="H51" s="125"/>
      <c r="I51" s="125"/>
      <c r="J51" s="51"/>
      <c r="K51" s="51"/>
      <c r="L51" s="51"/>
      <c r="M51" s="51"/>
    </row>
    <row r="52" spans="1:18" s="125" customFormat="1" ht="13.5" customHeight="1" outlineLevel="2">
      <c r="A52" s="51"/>
      <c r="B52" s="124"/>
      <c r="C52" s="124"/>
      <c r="D52" s="124"/>
      <c r="E52" s="124"/>
      <c r="F52" s="124"/>
      <c r="G52" s="124"/>
      <c r="H52" s="124"/>
      <c r="I52" s="4" t="s">
        <v>259</v>
      </c>
      <c r="J52" s="101">
        <f>SUPUESTOS!D8</f>
        <v>0.03</v>
      </c>
      <c r="K52" s="51"/>
      <c r="L52" s="51"/>
      <c r="O52" s="51"/>
      <c r="P52" s="51"/>
      <c r="Q52" s="51"/>
      <c r="R52" s="51"/>
    </row>
    <row r="53" spans="1:18" s="125" customFormat="1" ht="13.5" customHeight="1" outlineLevel="2">
      <c r="A53" s="51"/>
      <c r="B53" s="124"/>
      <c r="C53" s="124"/>
      <c r="D53" s="124"/>
      <c r="E53" s="124"/>
      <c r="F53" s="124"/>
      <c r="G53" s="124"/>
      <c r="H53" s="124"/>
      <c r="I53" s="4" t="s">
        <v>260</v>
      </c>
      <c r="J53" s="73">
        <f>I33*(1+J52)</f>
        <v>835984.90647357446</v>
      </c>
      <c r="K53" s="51"/>
      <c r="L53" s="51"/>
      <c r="O53" s="51"/>
      <c r="P53" s="51"/>
      <c r="Q53" s="51"/>
      <c r="R53" s="51"/>
    </row>
    <row r="54" spans="1:18" s="125" customFormat="1" ht="15" customHeight="1" outlineLevel="2" thickBot="1">
      <c r="A54" s="51"/>
      <c r="B54" s="124"/>
      <c r="C54" s="124"/>
      <c r="D54" s="124"/>
      <c r="E54" s="124"/>
      <c r="F54" s="124"/>
      <c r="G54" s="124"/>
      <c r="H54" s="124"/>
      <c r="I54" s="4" t="s">
        <v>261</v>
      </c>
      <c r="J54" s="198">
        <f>'Costo de Capital'!C28-J52</f>
        <v>0.21709999999999996</v>
      </c>
      <c r="K54" s="51"/>
      <c r="O54" s="51"/>
      <c r="P54" s="51"/>
      <c r="Q54" s="51"/>
      <c r="R54" s="51"/>
    </row>
    <row r="55" spans="1:18" s="125" customFormat="1" ht="15" customHeight="1" outlineLevel="2" thickBot="1">
      <c r="A55" s="51"/>
      <c r="B55" s="124"/>
      <c r="C55" s="124"/>
      <c r="D55" s="124"/>
      <c r="E55" s="124"/>
      <c r="F55" s="124"/>
      <c r="G55" s="124"/>
      <c r="H55" s="124"/>
      <c r="I55" s="15" t="s">
        <v>262</v>
      </c>
      <c r="J55" s="199">
        <f>J53/J54</f>
        <v>3850690.4950417993</v>
      </c>
      <c r="K55" s="51"/>
      <c r="L55" s="51"/>
      <c r="O55" s="51"/>
      <c r="P55" s="51"/>
      <c r="Q55" s="51"/>
      <c r="R55" s="51"/>
    </row>
    <row r="56" spans="1:18" s="125" customFormat="1" ht="15" customHeight="1" outlineLevel="2" thickBot="1">
      <c r="A56" s="51"/>
      <c r="B56" s="124"/>
      <c r="C56" s="124"/>
      <c r="D56" s="124"/>
      <c r="E56" s="124"/>
      <c r="F56" s="124"/>
      <c r="G56" s="124"/>
      <c r="H56" s="124"/>
      <c r="I56" s="15" t="s">
        <v>263</v>
      </c>
      <c r="J56" s="200">
        <f>J55/(1+'Costo de Capital'!C28)^B33</f>
        <v>1276533.5011070368</v>
      </c>
      <c r="K56" s="51"/>
      <c r="L56" s="51"/>
      <c r="O56" s="51"/>
      <c r="P56" s="51"/>
      <c r="Q56" s="51"/>
      <c r="R56" s="51"/>
    </row>
    <row r="57" spans="1:18" s="125" customFormat="1" ht="13.5" customHeight="1" outlineLevel="1">
      <c r="A57" s="51"/>
      <c r="B57" s="124"/>
      <c r="C57" s="124"/>
      <c r="D57" s="124"/>
      <c r="E57" s="124"/>
      <c r="F57" s="124"/>
      <c r="G57" s="124"/>
      <c r="H57" s="124"/>
      <c r="I57" s="124"/>
      <c r="J57" s="124"/>
      <c r="O57" s="51"/>
      <c r="P57" s="51"/>
      <c r="Q57" s="51"/>
      <c r="R57" s="51"/>
    </row>
    <row r="58" spans="1:18" ht="13.5" customHeight="1" outlineLevel="1">
      <c r="F58" s="125"/>
      <c r="G58" s="125"/>
      <c r="H58" s="125"/>
      <c r="I58" s="125"/>
      <c r="J58" s="51"/>
      <c r="K58" s="51"/>
      <c r="L58" s="51"/>
      <c r="M58" s="51"/>
    </row>
    <row r="59" spans="1:18" ht="13.5" customHeight="1" outlineLevel="1">
      <c r="J59" s="124"/>
      <c r="N59" s="125"/>
    </row>
    <row r="60" spans="1:18" ht="13.5" customHeight="1" outlineLevel="1">
      <c r="J60" s="124"/>
      <c r="N60" s="125"/>
    </row>
    <row r="61" spans="1:18" ht="13.5" customHeight="1" outlineLevel="1">
      <c r="J61" s="124"/>
      <c r="N61" s="125"/>
    </row>
    <row r="62" spans="1:18" ht="30.75" customHeight="1" outlineLevel="2" thickBot="1">
      <c r="B62" s="154" t="s">
        <v>244</v>
      </c>
      <c r="C62" s="154" t="s">
        <v>264</v>
      </c>
      <c r="D62" s="154" t="s">
        <v>265</v>
      </c>
      <c r="E62" s="154" t="s">
        <v>266</v>
      </c>
      <c r="F62" s="154" t="s">
        <v>267</v>
      </c>
      <c r="G62" s="158" t="s">
        <v>268</v>
      </c>
      <c r="H62" s="158" t="s">
        <v>269</v>
      </c>
      <c r="J62" s="124"/>
      <c r="N62" s="125"/>
    </row>
    <row r="63" spans="1:18" ht="15.75" customHeight="1" outlineLevel="2">
      <c r="B63" s="201">
        <v>0</v>
      </c>
      <c r="C63" s="202">
        <v>0</v>
      </c>
      <c r="D63" s="202">
        <v>0</v>
      </c>
      <c r="E63" s="266">
        <v>0</v>
      </c>
      <c r="F63" s="268">
        <v>0</v>
      </c>
      <c r="G63" s="169">
        <v>0</v>
      </c>
      <c r="I63" s="264" t="s">
        <v>270</v>
      </c>
      <c r="J63" s="294">
        <v>30</v>
      </c>
      <c r="N63" s="125"/>
    </row>
    <row r="64" spans="1:18" ht="15" customHeight="1" outlineLevel="2">
      <c r="B64" s="170" t="s">
        <v>167</v>
      </c>
      <c r="C64" s="203">
        <f>('Presupuesto Anual'!Q18*$J$64)*$J$63/$J$67</f>
        <v>32375</v>
      </c>
      <c r="D64" s="203">
        <f>(SUM('Presupuesto Anual'!Q23:Q31)*$J$65/$J$67)</f>
        <v>30079.174999999999</v>
      </c>
      <c r="E64" s="267">
        <f>SUM('Presupuesto Anual'!Q23:Q31)*$J$66/$J$67</f>
        <v>22559.381249999999</v>
      </c>
      <c r="F64" s="269">
        <f>-(G64-G63)</f>
        <v>-39894.793750000004</v>
      </c>
      <c r="G64" s="169">
        <f>C64+D64-E64</f>
        <v>39894.793750000004</v>
      </c>
      <c r="I64" s="264" t="s">
        <v>313</v>
      </c>
      <c r="J64" s="295">
        <v>0.1</v>
      </c>
      <c r="N64" s="125"/>
    </row>
    <row r="65" spans="2:14" ht="15" customHeight="1" outlineLevel="2">
      <c r="B65" s="170" t="s">
        <v>168</v>
      </c>
      <c r="C65" s="203">
        <f>('Presupuesto Anual'!R18*J64)*$J$63/$J$67</f>
        <v>42127.583333333336</v>
      </c>
      <c r="D65" s="203">
        <f>SUM('Presupuesto Anual'!R23:R31)*$J$65/$J$67</f>
        <v>40471.529962499997</v>
      </c>
      <c r="E65" s="267">
        <f>SUM('Presupuesto Anual'!R23:R31)*$J$66/$J$67</f>
        <v>30353.647471875</v>
      </c>
      <c r="F65" s="269">
        <f>-(G65-G64)</f>
        <v>-12350.672073958332</v>
      </c>
      <c r="G65" s="169">
        <f>C65+D65-E65</f>
        <v>52245.465823958337</v>
      </c>
      <c r="I65" s="264" t="s">
        <v>271</v>
      </c>
      <c r="J65" s="294">
        <v>60</v>
      </c>
      <c r="N65" s="125"/>
    </row>
    <row r="66" spans="2:14" ht="15" customHeight="1" outlineLevel="2">
      <c r="B66" s="170" t="s">
        <v>169</v>
      </c>
      <c r="C66" s="203">
        <f>('Presupuesto Anual'!S18*J64)*$J$63/$J$67</f>
        <v>52659.479166666664</v>
      </c>
      <c r="D66" s="203">
        <f>SUM('Presupuesto Anual'!S23:S31)*$J$65/$J$67</f>
        <v>52360.041888984379</v>
      </c>
      <c r="E66" s="267">
        <f>SUM('Presupuesto Anual'!S23:S31)*$J$66/$J$67</f>
        <v>39270.031416738282</v>
      </c>
      <c r="F66" s="269">
        <f>-(G66-G65)</f>
        <v>-13504.023814954417</v>
      </c>
      <c r="G66" s="169">
        <f>C66+D66-E66</f>
        <v>65749.489638912753</v>
      </c>
      <c r="I66" s="264" t="s">
        <v>272</v>
      </c>
      <c r="J66" s="294">
        <v>45</v>
      </c>
      <c r="N66" s="125"/>
    </row>
    <row r="67" spans="2:14" ht="15" customHeight="1" outlineLevel="2">
      <c r="B67" s="170" t="s">
        <v>170</v>
      </c>
      <c r="C67" s="203">
        <f>('Presupuesto Anual'!T18*J64)*$J$63/$J$67</f>
        <v>63191.375</v>
      </c>
      <c r="D67" s="203">
        <f>SUM('Presupuesto Anual'!T23:T31)*$J$65/$J$67</f>
        <v>65031.172026118584</v>
      </c>
      <c r="E67" s="267">
        <f>SUM('Presupuesto Anual'!T23:T31)*$J$66/$J$67</f>
        <v>48773.379019588938</v>
      </c>
      <c r="F67" s="269">
        <f>-(G67-G66)</f>
        <v>-13699.6783676169</v>
      </c>
      <c r="G67" s="169">
        <f>C67+D67-E67</f>
        <v>79449.168006529653</v>
      </c>
      <c r="I67" s="264" t="s">
        <v>273</v>
      </c>
      <c r="J67" s="169">
        <v>360</v>
      </c>
      <c r="N67" s="125"/>
    </row>
    <row r="68" spans="2:14" ht="15" customHeight="1" outlineLevel="2" thickBot="1">
      <c r="B68" s="170" t="s">
        <v>171</v>
      </c>
      <c r="C68" s="203">
        <f>('Presupuesto Anual'!U18*J64)*$J$63/$J$67</f>
        <v>72670.081250000017</v>
      </c>
      <c r="D68" s="203">
        <f>SUM('Presupuesto Anual'!U23:U31)*$J$65/$J$67</f>
        <v>77403.352504087627</v>
      </c>
      <c r="E68" s="267">
        <f>SUM('Presupuesto Anual'!U23:U31)*$J$66/$J$67</f>
        <v>58052.514378065716</v>
      </c>
      <c r="F68" s="270">
        <f>-(G68-G67)</f>
        <v>-12571.751369492296</v>
      </c>
      <c r="G68" s="169">
        <f>C68+D68-E68</f>
        <v>92020.91937602195</v>
      </c>
      <c r="J68" s="124"/>
    </row>
    <row r="69" spans="2:14" outlineLevel="1"/>
  </sheetData>
  <mergeCells count="14">
    <mergeCell ref="B18:D18"/>
    <mergeCell ref="B20:E20"/>
    <mergeCell ref="B22:D22"/>
    <mergeCell ref="B23:D23"/>
    <mergeCell ref="B9:D9"/>
    <mergeCell ref="B10:D10"/>
    <mergeCell ref="B12:E12"/>
    <mergeCell ref="B13:D13"/>
    <mergeCell ref="B17:D17"/>
    <mergeCell ref="B1:E1"/>
    <mergeCell ref="B2:E2"/>
    <mergeCell ref="B4:D4"/>
    <mergeCell ref="B6:D6"/>
    <mergeCell ref="B7:D7"/>
  </mergeCells>
  <conditionalFormatting sqref="E4">
    <cfRule type="cellIs" dxfId="1" priority="3" operator="lessThan">
      <formula>0</formula>
    </cfRule>
  </conditionalFormatting>
  <conditionalFormatting sqref="K28:K33">
    <cfRule type="cellIs" dxfId="0" priority="2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6A6A6"/>
  </sheetPr>
  <dimension ref="B1:L66"/>
  <sheetViews>
    <sheetView showGridLines="0" topLeftCell="A12" zoomScale="160" zoomScaleNormal="160" workbookViewId="0">
      <selection activeCell="C28" sqref="C28"/>
    </sheetView>
  </sheetViews>
  <sheetFormatPr baseColWidth="10" defaultColWidth="13" defaultRowHeight="14"/>
  <cols>
    <col min="1" max="1" width="5.3984375" style="51" customWidth="1"/>
    <col min="2" max="2" width="42.59765625" style="51" customWidth="1"/>
    <col min="3" max="3" width="19.796875" style="51" customWidth="1"/>
    <col min="4" max="4" width="54.796875" style="51" customWidth="1"/>
    <col min="5" max="5" width="24" style="51" customWidth="1"/>
    <col min="6" max="6" width="22.59765625" style="51" customWidth="1"/>
    <col min="7" max="8" width="19.59765625" style="51" customWidth="1"/>
    <col min="9" max="10" width="13" style="51"/>
    <col min="11" max="11" width="15.59765625" style="51" customWidth="1"/>
    <col min="12" max="12" width="16" style="51" customWidth="1"/>
    <col min="13" max="16384" width="13" style="51"/>
  </cols>
  <sheetData>
    <row r="1" spans="2:12" ht="13.5" customHeight="1">
      <c r="C1" s="8"/>
      <c r="D1" s="204"/>
    </row>
    <row r="2" spans="2:12" ht="33.75" customHeight="1">
      <c r="B2" s="315" t="s">
        <v>274</v>
      </c>
      <c r="C2" s="315"/>
      <c r="D2" s="315"/>
      <c r="E2" s="205"/>
      <c r="F2" s="205"/>
      <c r="G2" s="205"/>
      <c r="H2" s="205"/>
      <c r="I2" s="205"/>
    </row>
    <row r="3" spans="2:12" ht="15" customHeight="1">
      <c r="D3" s="206" t="s">
        <v>275</v>
      </c>
      <c r="E3" s="205"/>
      <c r="I3" s="205"/>
    </row>
    <row r="4" spans="2:12" ht="32" customHeight="1">
      <c r="B4" s="207" t="s">
        <v>276</v>
      </c>
      <c r="C4" s="208">
        <v>8.7239999999999998E-2</v>
      </c>
      <c r="D4" s="261" t="s">
        <v>277</v>
      </c>
      <c r="E4" s="205"/>
      <c r="I4" s="205"/>
    </row>
    <row r="5" spans="2:12" ht="32" customHeight="1">
      <c r="B5" s="209" t="s">
        <v>278</v>
      </c>
      <c r="C5" s="210">
        <v>1.2</v>
      </c>
      <c r="D5" s="211" t="s">
        <v>279</v>
      </c>
      <c r="E5" s="205"/>
      <c r="I5" s="205"/>
    </row>
    <row r="6" spans="2:12" ht="32" customHeight="1">
      <c r="B6" s="212" t="s">
        <v>280</v>
      </c>
      <c r="C6" s="213">
        <v>4.3299999999999998E-2</v>
      </c>
      <c r="D6" s="211" t="s">
        <v>281</v>
      </c>
      <c r="E6" s="205"/>
      <c r="I6" s="205"/>
      <c r="K6" s="214"/>
      <c r="L6" s="214"/>
    </row>
    <row r="7" spans="2:12" ht="32" customHeight="1">
      <c r="B7" s="215" t="s">
        <v>282</v>
      </c>
      <c r="C7" s="216">
        <v>0</v>
      </c>
      <c r="D7" s="262" t="s">
        <v>283</v>
      </c>
      <c r="E7" s="205"/>
      <c r="I7" s="205"/>
      <c r="K7" s="214"/>
      <c r="L7" s="214"/>
    </row>
    <row r="8" spans="2:12" ht="32" customHeight="1">
      <c r="B8" s="209" t="s">
        <v>284</v>
      </c>
      <c r="C8" s="217">
        <v>0.05</v>
      </c>
      <c r="D8" s="211" t="s">
        <v>285</v>
      </c>
      <c r="E8" s="205"/>
      <c r="I8" s="205"/>
      <c r="K8" s="214"/>
      <c r="L8" s="214"/>
    </row>
    <row r="9" spans="2:12" ht="32" customHeight="1">
      <c r="B9" s="218" t="s">
        <v>286</v>
      </c>
      <c r="C9" s="219">
        <f>C7+C8</f>
        <v>0.05</v>
      </c>
      <c r="D9" s="263"/>
      <c r="E9" s="205"/>
      <c r="I9" s="205"/>
      <c r="K9" s="214"/>
      <c r="L9" s="214"/>
    </row>
    <row r="10" spans="2:12" ht="13.5" customHeight="1">
      <c r="B10" s="205"/>
      <c r="C10" s="220"/>
      <c r="D10" s="205"/>
      <c r="E10" s="205"/>
      <c r="I10" s="205"/>
      <c r="K10" s="214"/>
      <c r="L10" s="214"/>
    </row>
    <row r="11" spans="2:12" ht="13.5" customHeight="1">
      <c r="B11" s="221" t="s">
        <v>287</v>
      </c>
      <c r="C11" s="222">
        <v>3.7900000000000003E-2</v>
      </c>
      <c r="D11" s="205"/>
      <c r="E11" s="205"/>
      <c r="I11" s="205"/>
    </row>
    <row r="12" spans="2:12" ht="13.5" customHeight="1">
      <c r="B12" s="221" t="s">
        <v>288</v>
      </c>
      <c r="C12" s="223">
        <v>0.02</v>
      </c>
      <c r="D12" s="205"/>
      <c r="E12" s="205"/>
      <c r="I12" s="205"/>
    </row>
    <row r="13" spans="2:12" ht="15" customHeight="1">
      <c r="B13" s="205"/>
      <c r="C13" s="224"/>
      <c r="D13" s="205"/>
      <c r="E13" s="205"/>
      <c r="I13" s="205"/>
    </row>
    <row r="14" spans="2:12" ht="13.5" customHeight="1">
      <c r="B14" s="225" t="s">
        <v>289</v>
      </c>
      <c r="C14" s="226">
        <f>C4+C5*C6+C9+C11+C12</f>
        <v>0.24709999999999996</v>
      </c>
      <c r="D14" s="227"/>
      <c r="E14" s="205"/>
      <c r="I14" s="205"/>
      <c r="K14" s="214"/>
      <c r="L14" s="214"/>
    </row>
    <row r="15" spans="2:12" ht="13.5" customHeight="1">
      <c r="B15" s="228" t="s">
        <v>290</v>
      </c>
      <c r="C15" s="229">
        <f>SUPUESTOS!D6</f>
        <v>3.5000000000000003E-2</v>
      </c>
      <c r="D15" s="230"/>
      <c r="E15" s="205"/>
      <c r="I15" s="205"/>
      <c r="K15" s="214"/>
      <c r="L15" s="214"/>
    </row>
    <row r="16" spans="2:12" ht="15" customHeight="1">
      <c r="B16" s="231" t="s">
        <v>291</v>
      </c>
      <c r="C16" s="232">
        <f>+((1+C14)/(1+C15))-1</f>
        <v>0.20492753623188409</v>
      </c>
      <c r="D16" s="233"/>
      <c r="E16" s="205"/>
      <c r="I16" s="205"/>
    </row>
    <row r="17" spans="2:11" ht="15" customHeight="1">
      <c r="B17" s="205"/>
      <c r="C17" s="220"/>
      <c r="D17" s="205"/>
      <c r="E17" s="234"/>
      <c r="I17" s="235"/>
      <c r="K17" s="236"/>
    </row>
    <row r="18" spans="2:11" ht="13.5" customHeight="1">
      <c r="B18" s="225" t="s">
        <v>292</v>
      </c>
      <c r="C18" s="226">
        <f>+C19*(1-C20)</f>
        <v>0.105</v>
      </c>
      <c r="D18" s="237"/>
      <c r="E18" s="205"/>
      <c r="I18" s="205"/>
    </row>
    <row r="19" spans="2:11" ht="13.5" customHeight="1">
      <c r="B19" s="238" t="s">
        <v>293</v>
      </c>
      <c r="C19" s="229">
        <f>'Crédito Bancario'!D4</f>
        <v>0.15</v>
      </c>
      <c r="D19" s="239" t="s">
        <v>294</v>
      </c>
      <c r="E19" s="205"/>
      <c r="I19" s="205"/>
    </row>
    <row r="20" spans="2:11" ht="13.5" customHeight="1">
      <c r="B20" s="238" t="s">
        <v>295</v>
      </c>
      <c r="C20" s="240">
        <f>SUPUESTOS!D3</f>
        <v>0.3</v>
      </c>
      <c r="D20" s="239" t="s">
        <v>296</v>
      </c>
      <c r="E20" s="205"/>
      <c r="I20" s="205"/>
    </row>
    <row r="21" spans="2:11" ht="13.5" customHeight="1">
      <c r="B21" s="238" t="s">
        <v>290</v>
      </c>
      <c r="C21" s="229">
        <f>SUPUESTOS!D6</f>
        <v>3.5000000000000003E-2</v>
      </c>
      <c r="D21" s="230">
        <f>D15</f>
        <v>0</v>
      </c>
      <c r="E21" s="205"/>
      <c r="I21" s="205"/>
    </row>
    <row r="22" spans="2:11" ht="15" customHeight="1">
      <c r="B22" s="241" t="s">
        <v>297</v>
      </c>
      <c r="C22" s="242">
        <f>+((1+C18)/(1+C21))-1</f>
        <v>6.7632850241545972E-2</v>
      </c>
      <c r="D22" s="243"/>
      <c r="E22" s="205"/>
      <c r="I22" s="205"/>
    </row>
    <row r="23" spans="2:11" ht="15" customHeight="1">
      <c r="B23" s="205"/>
      <c r="C23" s="244"/>
      <c r="D23" s="205"/>
      <c r="E23" s="205"/>
      <c r="I23" s="205"/>
    </row>
    <row r="24" spans="2:11" ht="15" customHeight="1">
      <c r="B24" s="245" t="s">
        <v>298</v>
      </c>
      <c r="C24" s="246">
        <v>1</v>
      </c>
      <c r="D24" s="247"/>
      <c r="E24" s="205"/>
      <c r="I24" s="205"/>
    </row>
    <row r="25" spans="2:11" ht="15" customHeight="1">
      <c r="C25" s="1"/>
      <c r="D25" s="205"/>
      <c r="E25" s="205"/>
      <c r="I25" s="205"/>
    </row>
    <row r="26" spans="2:11" ht="15" customHeight="1">
      <c r="B26" s="245" t="s">
        <v>299</v>
      </c>
      <c r="C26" s="246">
        <v>0</v>
      </c>
      <c r="D26" s="247"/>
      <c r="E26" s="205"/>
      <c r="I26" s="205"/>
    </row>
    <row r="27" spans="2:11" ht="15" customHeight="1">
      <c r="B27" s="205"/>
      <c r="C27" s="244"/>
      <c r="D27" s="205"/>
      <c r="E27" s="205"/>
      <c r="I27" s="205"/>
    </row>
    <row r="28" spans="2:11" ht="15" customHeight="1">
      <c r="B28" s="248" t="s">
        <v>300</v>
      </c>
      <c r="C28" s="265">
        <f>+(C14*C24)+(C18*C26)</f>
        <v>0.24709999999999996</v>
      </c>
      <c r="D28" s="249"/>
      <c r="E28" s="205"/>
      <c r="I28" s="205"/>
    </row>
    <row r="29" spans="2:11" ht="15" customHeight="1">
      <c r="B29" s="231" t="s">
        <v>301</v>
      </c>
      <c r="C29" s="250">
        <f>+(C16*C24)+(C22*C26)</f>
        <v>0.20492753623188409</v>
      </c>
      <c r="D29" s="251"/>
      <c r="E29" s="205"/>
      <c r="I29" s="205"/>
    </row>
    <row r="30" spans="2:11" ht="13.5" customHeight="1">
      <c r="B30" s="205"/>
      <c r="C30" s="252"/>
      <c r="D30" s="205"/>
      <c r="E30" s="205"/>
      <c r="I30" s="205"/>
    </row>
    <row r="31" spans="2:11" ht="13.5" customHeight="1">
      <c r="B31" s="316" t="s">
        <v>302</v>
      </c>
      <c r="C31" s="316"/>
      <c r="D31" s="316"/>
    </row>
    <row r="32" spans="2:11" ht="13.5" customHeight="1">
      <c r="B32" s="253">
        <v>37226</v>
      </c>
      <c r="C32" s="254">
        <v>6372</v>
      </c>
      <c r="D32" s="255"/>
    </row>
    <row r="33" spans="2:4" ht="13.5" customHeight="1">
      <c r="B33" s="253">
        <v>37591</v>
      </c>
      <c r="C33" s="254">
        <v>6127</v>
      </c>
      <c r="D33" s="255">
        <f t="shared" ref="D33:D42" si="0">C33/C32-1</f>
        <v>-3.8449466415568123E-2</v>
      </c>
    </row>
    <row r="34" spans="2:4" ht="13.5" customHeight="1">
      <c r="B34" s="253">
        <v>37956</v>
      </c>
      <c r="C34" s="254">
        <v>8795</v>
      </c>
      <c r="D34" s="255">
        <f t="shared" si="0"/>
        <v>0.43544964909417327</v>
      </c>
    </row>
    <row r="35" spans="2:4" ht="13.5" customHeight="1">
      <c r="B35" s="253">
        <v>38322</v>
      </c>
      <c r="C35" s="254">
        <v>12918</v>
      </c>
      <c r="D35" s="255">
        <f t="shared" si="0"/>
        <v>0.46878908470722003</v>
      </c>
    </row>
    <row r="36" spans="2:4" ht="13.5" customHeight="1">
      <c r="B36" s="253">
        <v>38687</v>
      </c>
      <c r="C36" s="254">
        <v>17803</v>
      </c>
      <c r="D36" s="255">
        <f t="shared" si="0"/>
        <v>0.37815451308252057</v>
      </c>
    </row>
    <row r="37" spans="2:4" ht="13.5" customHeight="1">
      <c r="B37" s="253">
        <v>39052</v>
      </c>
      <c r="C37" s="254">
        <v>26448</v>
      </c>
      <c r="D37" s="255">
        <f t="shared" si="0"/>
        <v>0.48559231590181429</v>
      </c>
    </row>
    <row r="38" spans="2:4" ht="13.5" customHeight="1">
      <c r="B38" s="253">
        <v>39417</v>
      </c>
      <c r="C38" s="254">
        <v>29537</v>
      </c>
      <c r="D38" s="255">
        <f t="shared" si="0"/>
        <v>0.1167952208106473</v>
      </c>
    </row>
    <row r="39" spans="2:4" ht="13.5" customHeight="1">
      <c r="B39" s="253">
        <v>39783</v>
      </c>
      <c r="C39" s="254">
        <v>22380</v>
      </c>
      <c r="D39" s="255">
        <f t="shared" si="0"/>
        <v>-0.24230625994515353</v>
      </c>
    </row>
    <row r="40" spans="2:4" ht="13.5" customHeight="1">
      <c r="B40" s="253">
        <v>40148</v>
      </c>
      <c r="C40" s="254">
        <v>32120</v>
      </c>
      <c r="D40" s="255">
        <f t="shared" si="0"/>
        <v>0.43521000893655049</v>
      </c>
    </row>
    <row r="41" spans="2:4" ht="13.5" customHeight="1">
      <c r="B41" s="253">
        <v>40513</v>
      </c>
      <c r="C41" s="254">
        <v>38551</v>
      </c>
      <c r="D41" s="255">
        <f t="shared" si="0"/>
        <v>0.20021793275217936</v>
      </c>
    </row>
    <row r="42" spans="2:4" ht="13.5" customHeight="1">
      <c r="B42" s="253">
        <v>40878</v>
      </c>
      <c r="C42" s="254">
        <v>37078</v>
      </c>
      <c r="D42" s="255">
        <f t="shared" si="0"/>
        <v>-3.8209125573915093E-2</v>
      </c>
    </row>
    <row r="43" spans="2:4" ht="13.5" customHeight="1">
      <c r="B43" s="253">
        <v>41244</v>
      </c>
      <c r="C43" s="254">
        <v>43706</v>
      </c>
      <c r="D43" s="255">
        <f t="shared" ref="D43:D56" si="1">+C43/C42-1</f>
        <v>0.17875829332757975</v>
      </c>
    </row>
    <row r="44" spans="2:4" ht="13.5" customHeight="1">
      <c r="B44" s="256">
        <v>41609</v>
      </c>
      <c r="C44" s="254">
        <v>42727</v>
      </c>
      <c r="D44" s="255">
        <f t="shared" si="1"/>
        <v>-2.2399670525785953E-2</v>
      </c>
    </row>
    <row r="45" spans="2:4" ht="13.5" customHeight="1">
      <c r="B45" s="256">
        <v>41974</v>
      </c>
      <c r="C45" s="254">
        <v>43146</v>
      </c>
      <c r="D45" s="255">
        <f t="shared" si="1"/>
        <v>9.8064455730568767E-3</v>
      </c>
    </row>
    <row r="46" spans="2:4" ht="13.5" customHeight="1">
      <c r="B46" s="256">
        <v>42339</v>
      </c>
      <c r="C46" s="254">
        <v>42978</v>
      </c>
      <c r="D46" s="255">
        <f t="shared" si="1"/>
        <v>-3.8937560839938934E-3</v>
      </c>
    </row>
    <row r="47" spans="2:4" ht="13.5" customHeight="1">
      <c r="B47" s="256">
        <v>42705</v>
      </c>
      <c r="C47" s="254">
        <v>45643</v>
      </c>
      <c r="D47" s="255">
        <f t="shared" si="1"/>
        <v>6.2008469449485792E-2</v>
      </c>
    </row>
    <row r="48" spans="2:4" ht="13.5" customHeight="1">
      <c r="B48" s="256">
        <v>43070</v>
      </c>
      <c r="C48" s="254">
        <v>49354</v>
      </c>
      <c r="D48" s="255">
        <f t="shared" si="1"/>
        <v>8.1304909843787687E-2</v>
      </c>
    </row>
    <row r="49" spans="2:9" ht="13.5" customHeight="1">
      <c r="B49" s="256">
        <v>43465</v>
      </c>
      <c r="C49" s="254">
        <v>41640</v>
      </c>
      <c r="D49" s="255">
        <f t="shared" si="1"/>
        <v>-0.15629938809417676</v>
      </c>
    </row>
    <row r="50" spans="2:9" ht="13.5" customHeight="1">
      <c r="B50" s="256">
        <v>43830</v>
      </c>
      <c r="C50" s="254">
        <v>43541</v>
      </c>
      <c r="D50" s="255">
        <f t="shared" si="1"/>
        <v>4.5653218059558132E-2</v>
      </c>
    </row>
    <row r="51" spans="2:9" ht="13.5" customHeight="1">
      <c r="B51" s="256">
        <v>44196</v>
      </c>
      <c r="C51" s="254">
        <v>44067</v>
      </c>
      <c r="D51" s="255">
        <f t="shared" si="1"/>
        <v>1.2080567740750059E-2</v>
      </c>
    </row>
    <row r="52" spans="2:9" ht="13.5" customHeight="1">
      <c r="B52" s="256">
        <v>44531</v>
      </c>
      <c r="C52" s="254">
        <v>53272</v>
      </c>
      <c r="D52" s="255">
        <f t="shared" si="1"/>
        <v>0.20888646833231217</v>
      </c>
    </row>
    <row r="53" spans="2:9" ht="13.5" customHeight="1">
      <c r="B53" s="256">
        <v>44896</v>
      </c>
      <c r="C53" s="254">
        <v>48464</v>
      </c>
      <c r="D53" s="255">
        <f t="shared" si="1"/>
        <v>-9.0253791860639754E-2</v>
      </c>
    </row>
    <row r="54" spans="2:9" ht="13.5" customHeight="1">
      <c r="B54" s="256">
        <v>45261</v>
      </c>
      <c r="C54" s="254">
        <v>57386</v>
      </c>
      <c r="D54" s="255">
        <f t="shared" si="1"/>
        <v>0.18409541102674143</v>
      </c>
    </row>
    <row r="55" spans="2:9" ht="13.5" customHeight="1">
      <c r="B55" s="256">
        <v>45627</v>
      </c>
      <c r="C55" s="254">
        <v>49513</v>
      </c>
      <c r="D55" s="255">
        <f t="shared" si="1"/>
        <v>-0.13719374063360401</v>
      </c>
    </row>
    <row r="56" spans="2:9" ht="15" customHeight="1">
      <c r="B56" s="256">
        <v>45992</v>
      </c>
      <c r="C56" s="254">
        <v>64308</v>
      </c>
      <c r="D56" s="255">
        <f t="shared" si="1"/>
        <v>0.29881041342677683</v>
      </c>
    </row>
    <row r="57" spans="2:9" ht="15" customHeight="1">
      <c r="B57" s="317" t="s">
        <v>303</v>
      </c>
      <c r="C57" s="317"/>
      <c r="D57" s="257">
        <f>AVERAGE(D37:D56)</f>
        <v>8.1433197123198561E-2</v>
      </c>
    </row>
    <row r="58" spans="2:9" ht="15" customHeight="1">
      <c r="B58" s="317" t="s">
        <v>304</v>
      </c>
      <c r="C58" s="317"/>
      <c r="D58" s="257">
        <f>AVERAGE(D42:D56)</f>
        <v>4.2210314933862216E-2</v>
      </c>
    </row>
    <row r="59" spans="2:9" ht="15" customHeight="1">
      <c r="B59" s="317" t="s">
        <v>305</v>
      </c>
      <c r="C59" s="317"/>
      <c r="D59" s="257">
        <f>AVERAGE(D47:D56)</f>
        <v>5.0909253729099158E-2</v>
      </c>
    </row>
    <row r="61" spans="2:9" ht="13.5" customHeight="1">
      <c r="B61" s="51" t="s">
        <v>306</v>
      </c>
    </row>
    <row r="62" spans="2:9" ht="15.75" customHeight="1">
      <c r="B62" s="258" t="s">
        <v>307</v>
      </c>
      <c r="C62" s="244"/>
      <c r="D62" s="205"/>
      <c r="E62" s="205"/>
      <c r="F62" s="259"/>
      <c r="G62" s="260"/>
      <c r="H62" s="244"/>
      <c r="I62" s="205"/>
    </row>
    <row r="63" spans="2:9" ht="15.75" customHeight="1">
      <c r="B63" s="258" t="s">
        <v>308</v>
      </c>
      <c r="C63" s="244"/>
      <c r="D63" s="205"/>
      <c r="E63" s="205"/>
      <c r="F63" s="259"/>
      <c r="G63" s="260"/>
      <c r="H63" s="244"/>
      <c r="I63" s="205"/>
    </row>
    <row r="64" spans="2:9" ht="15.75" customHeight="1">
      <c r="B64" s="258" t="s">
        <v>309</v>
      </c>
      <c r="C64" s="252"/>
      <c r="D64" s="205"/>
      <c r="E64" s="205"/>
      <c r="F64" s="205"/>
      <c r="G64" s="205"/>
      <c r="H64" s="205"/>
      <c r="I64" s="205"/>
    </row>
    <row r="65" spans="2:9" ht="15.75" customHeight="1">
      <c r="B65" s="258" t="s">
        <v>310</v>
      </c>
      <c r="C65" s="252"/>
      <c r="D65" s="205"/>
      <c r="E65" s="205"/>
      <c r="F65" s="205"/>
      <c r="G65" s="205"/>
      <c r="H65" s="205"/>
      <c r="I65" s="205"/>
    </row>
    <row r="66" spans="2:9" ht="15.75" customHeight="1">
      <c r="B66" s="258" t="s">
        <v>311</v>
      </c>
    </row>
  </sheetData>
  <mergeCells count="5">
    <mergeCell ref="B2:D2"/>
    <mergeCell ref="B31:D31"/>
    <mergeCell ref="B57:C57"/>
    <mergeCell ref="B58:C58"/>
    <mergeCell ref="B59:C59"/>
  </mergeCells>
  <hyperlinks>
    <hyperlink ref="B62" r:id="rId1" xr:uid="{00000000-0004-0000-0800-000000000000}"/>
    <hyperlink ref="B63" r:id="rId2" xr:uid="{00000000-0004-0000-0800-000001000000}"/>
    <hyperlink ref="B64" r:id="rId3" xr:uid="{00000000-0004-0000-0800-000002000000}"/>
    <hyperlink ref="B65" r:id="rId4" xr:uid="{00000000-0004-0000-0800-000003000000}"/>
    <hyperlink ref="B66" r:id="rId5" xr:uid="{00000000-0004-0000-0800-000004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01A2-9327-5A4B-883E-286FED5C8AF2}">
  <sheetPr>
    <tabColor rgb="FFA6A6A6"/>
  </sheetPr>
  <dimension ref="A2:D9"/>
  <sheetViews>
    <sheetView showGridLines="0" zoomScale="130" zoomScaleNormal="130" workbookViewId="0">
      <selection activeCell="L25" sqref="L25"/>
    </sheetView>
  </sheetViews>
  <sheetFormatPr baseColWidth="10" defaultRowHeight="14"/>
  <sheetData>
    <row r="2" spans="1:4" ht="15" thickBot="1"/>
    <row r="3" spans="1:4" s="51" customFormat="1" ht="13.5" customHeight="1">
      <c r="B3" s="51" t="s">
        <v>138</v>
      </c>
      <c r="D3" s="88">
        <v>0.3</v>
      </c>
    </row>
    <row r="4" spans="1:4" s="51" customFormat="1" ht="15" customHeight="1" thickBot="1">
      <c r="B4" s="51" t="s">
        <v>139</v>
      </c>
      <c r="D4" s="89">
        <v>0.1</v>
      </c>
    </row>
    <row r="5" spans="1:4" s="51" customFormat="1" ht="15" thickBot="1"/>
    <row r="6" spans="1:4" s="51" customFormat="1" ht="15" customHeight="1" thickBot="1">
      <c r="B6" s="51" t="s">
        <v>140</v>
      </c>
      <c r="D6" s="90">
        <v>3.5000000000000003E-2</v>
      </c>
    </row>
    <row r="7" spans="1:4" s="51" customFormat="1" ht="15" thickBot="1"/>
    <row r="8" spans="1:4" s="51" customFormat="1" ht="15" thickBot="1">
      <c r="B8" s="51" t="s">
        <v>312</v>
      </c>
      <c r="D8" s="90">
        <v>0.03</v>
      </c>
    </row>
    <row r="9" spans="1:4" s="51" customFormat="1" ht="15" customHeight="1">
      <c r="A9" s="2"/>
      <c r="C9" s="7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&gt;&gt;&gt;&gt;&gt;&gt;</vt:lpstr>
      <vt:lpstr>Presupuesto Anual</vt:lpstr>
      <vt:lpstr>Costeo</vt:lpstr>
      <vt:lpstr>Gastos</vt:lpstr>
      <vt:lpstr>Pricing</vt:lpstr>
      <vt:lpstr>Gráficas</vt:lpstr>
      <vt:lpstr>Crédito Bancario</vt:lpstr>
      <vt:lpstr>RENTABILIDAD DE LA INVERSION</vt:lpstr>
      <vt:lpstr>Costo de Capital</vt:lpstr>
      <vt:lpstr>SUPUESTOS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RIVERA</dc:creator>
  <dc:description/>
  <cp:lastModifiedBy>LUIS RIVERA</cp:lastModifiedBy>
  <cp:revision>2</cp:revision>
  <dcterms:created xsi:type="dcterms:W3CDTF">2025-08-25T19:02:54Z</dcterms:created>
  <dcterms:modified xsi:type="dcterms:W3CDTF">2026-08-04T18:34:24Z</dcterms:modified>
  <dc:language>en-US</dc:language>
</cp:coreProperties>
</file>